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hp\Desktop\Furniture Sales Analysis\"/>
    </mc:Choice>
  </mc:AlternateContent>
  <xr:revisionPtr revIDLastSave="0" documentId="8_{BC39B007-9102-42D9-B954-317B60362BA7}" xr6:coauthVersionLast="47" xr6:coauthVersionMax="47" xr10:uidLastSave="{00000000-0000-0000-0000-000000000000}"/>
  <bookViews>
    <workbookView xWindow="-108" yWindow="-108" windowWidth="23256" windowHeight="12456" xr2:uid="{00000000-000D-0000-FFFF-FFFF00000000}"/>
  </bookViews>
  <sheets>
    <sheet name="Dashboard" sheetId="3" r:id="rId1"/>
    <sheet name="Pivot Tables" sheetId="12" r:id="rId2"/>
    <sheet name="Cleaned Data" sheetId="14" r:id="rId3"/>
    <sheet name="Insights &amp; Recommendations" sheetId="15" r:id="rId4"/>
  </sheets>
  <definedNames>
    <definedName name="ExternalData_2" localSheetId="2" hidden="1">'Cleaned Data'!$A$1:$S$127</definedName>
    <definedName name="Slicer_الحالة">#N/A</definedName>
    <definedName name="Slicer_المحافظة">#N/A</definedName>
    <definedName name="Slicer_منصة_البيع">#N/A</definedName>
  </definedNames>
  <calcPr calcId="191028"/>
  <pivotCaches>
    <pivotCache cacheId="1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3" i="12" l="1"/>
  <c r="J13" i="12"/>
  <c r="R13"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E844E3-4B89-44EE-A1DE-BB4F265A0641}"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6A7F7182-A2CC-4C7A-8293-E1B52E6F595A}"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3" xr16:uid="{E16214C5-AFCA-4296-B3AF-3CA77231EE55}" keepAlive="1" name="Query - Table1 (3)" description="Connection to the 'Table1 (3)' query in the workbook." type="5" refreshedVersion="0" background="1">
    <dbPr connection="Provider=Microsoft.Mashup.OleDb.1;Data Source=$Workbook$;Location=&quot;Table1 (3)&quot;;Extended Properties=&quot;&quot;" command="SELECT * FROM [Table1 (3)]"/>
  </connection>
  <connection id="4" xr16:uid="{E8FA7164-7C5C-47E2-863F-BDB9834B7B27}" keepAlive="1" name="Query - Table1 (4)" description="Connection to the 'Table1 (4)' query in the workbook." type="5" refreshedVersion="8" background="1" saveData="1">
    <dbPr connection="Provider=Microsoft.Mashup.OleDb.1;Data Source=$Workbook$;Location=&quot;Table1 (4)&quot;;Extended Properties=&quot;&quot;" command="SELECT * FROM [Table1 (4)]"/>
  </connection>
</connections>
</file>

<file path=xl/sharedStrings.xml><?xml version="1.0" encoding="utf-8"?>
<sst xmlns="http://schemas.openxmlformats.org/spreadsheetml/2006/main" count="1677" uniqueCount="278">
  <si>
    <t>أسم العميل</t>
  </si>
  <si>
    <t>العنوان</t>
  </si>
  <si>
    <t>المنتج</t>
  </si>
  <si>
    <t>تاريخ التسليم</t>
  </si>
  <si>
    <t xml:space="preserve">منصة البيع </t>
  </si>
  <si>
    <t>هومزمارت</t>
  </si>
  <si>
    <t xml:space="preserve">سعر البيع </t>
  </si>
  <si>
    <t xml:space="preserve">طريقه الدفع </t>
  </si>
  <si>
    <t>ميعاد التسليم</t>
  </si>
  <si>
    <t>ميعاد الطلب</t>
  </si>
  <si>
    <t>العجوزه - الجيزه</t>
  </si>
  <si>
    <t xml:space="preserve">سرير منطبق الحديد ابيض والقماش ابيض </t>
  </si>
  <si>
    <t>مسبق الدفع</t>
  </si>
  <si>
    <t>محمود</t>
  </si>
  <si>
    <t>سموحه - اسكندريه</t>
  </si>
  <si>
    <t xml:space="preserve">سرير منطبق اسود والقماش اسود </t>
  </si>
  <si>
    <t>سعيد</t>
  </si>
  <si>
    <t xml:space="preserve">سيدى عبد الرحمن - الساحل الشمالى </t>
  </si>
  <si>
    <t xml:space="preserve">سرير كيفينج مقاس 90 لون ازرق </t>
  </si>
  <si>
    <t>ساندرا</t>
  </si>
  <si>
    <t xml:space="preserve">الغردقه </t>
  </si>
  <si>
    <t xml:space="preserve">ترابيزه قهوه متحركه </t>
  </si>
  <si>
    <t xml:space="preserve">سرير نوفال متر رمادى </t>
  </si>
  <si>
    <t xml:space="preserve">كنبه سرير رمادى </t>
  </si>
  <si>
    <t>التجمع الخامس</t>
  </si>
  <si>
    <t xml:space="preserve">٦ اكتوبر الجيزه </t>
  </si>
  <si>
    <t xml:space="preserve">سرير فردى ابيض </t>
  </si>
  <si>
    <t>العباسيه</t>
  </si>
  <si>
    <t>تاكى</t>
  </si>
  <si>
    <t xml:space="preserve">ركنه </t>
  </si>
  <si>
    <t>٢ كنبه سحاره بمخدع</t>
  </si>
  <si>
    <t xml:space="preserve">العباسيه </t>
  </si>
  <si>
    <t xml:space="preserve">٢ كنبه سحاره بدون مخدع </t>
  </si>
  <si>
    <t>مصر الجديده</t>
  </si>
  <si>
    <t>سرير نوفال ابيض مقاس ٨٠</t>
  </si>
  <si>
    <t xml:space="preserve">سرير كينج ابيض </t>
  </si>
  <si>
    <t>شيك هومز</t>
  </si>
  <si>
    <t xml:space="preserve">سرير كينج اسود </t>
  </si>
  <si>
    <t xml:space="preserve">التجمع الخامس </t>
  </si>
  <si>
    <t xml:space="preserve">اوسكار ريتن </t>
  </si>
  <si>
    <t xml:space="preserve">٢ سرير كيفنج ١٢٠ اسود </t>
  </si>
  <si>
    <t xml:space="preserve">مدينه نصر </t>
  </si>
  <si>
    <t xml:space="preserve">سرير كينج ابيض مقاس ٨٠ التصميم الجديد </t>
  </si>
  <si>
    <t xml:space="preserve">المقطم </t>
  </si>
  <si>
    <t xml:space="preserve">ترابيزه قهوه علويه جديده </t>
  </si>
  <si>
    <t xml:space="preserve">٢ فوتيه فنيسيا </t>
  </si>
  <si>
    <t>سرير فردى خشب موسكى الحديد ابيض مقاس ٨٠</t>
  </si>
  <si>
    <t>القاهره الجديده</t>
  </si>
  <si>
    <t>٤سرير فردى خشب موسكى الحديد ابيض مقاس ٨٠</t>
  </si>
  <si>
    <t>حسن حازم</t>
  </si>
  <si>
    <t>سرير اسبانى ابيض ١٢٠</t>
  </si>
  <si>
    <t xml:space="preserve">القطاميه </t>
  </si>
  <si>
    <t xml:space="preserve">الشروق القاهره </t>
  </si>
  <si>
    <t xml:space="preserve">حدايق الاهرام </t>
  </si>
  <si>
    <t xml:space="preserve">سرير نوفال  ٩٠ اسود </t>
  </si>
  <si>
    <t>عبير نور الدين</t>
  </si>
  <si>
    <t xml:space="preserve">١٨ شارع البحيري بولاق الدكرور الجيزه </t>
  </si>
  <si>
    <t>اوسكار راتن</t>
  </si>
  <si>
    <t xml:space="preserve">مخزن اوسكار في القناطر </t>
  </si>
  <si>
    <t>حساب شركه</t>
  </si>
  <si>
    <t xml:space="preserve">٢ سرير ارفيل ١٢٠ اسود </t>
  </si>
  <si>
    <t>٢ سريرفورجينا خشب موسكى ابيض مقاس ١٢٠</t>
  </si>
  <si>
    <t>الشروق</t>
  </si>
  <si>
    <t xml:space="preserve">سرير كيفنج دورين مقاس ٨٠ ابيض </t>
  </si>
  <si>
    <t xml:space="preserve">سرير ٣ ادوار ابيض مقاس ٨٠ ابيض </t>
  </si>
  <si>
    <t xml:space="preserve">لافيستا العين السخنه </t>
  </si>
  <si>
    <t>سرير استيل ازرق مقاس ١٤٠</t>
  </si>
  <si>
    <t>سرير اسبانى اسود مقاس ١٢٠</t>
  </si>
  <si>
    <t xml:space="preserve">سرير كينج ١٢٠ بنفسجى </t>
  </si>
  <si>
    <t>وائل صادق</t>
  </si>
  <si>
    <t xml:space="preserve">سرير كوين مقاس ١٤٠ دهبي ورمادى </t>
  </si>
  <si>
    <t xml:space="preserve">القاهره الجديده </t>
  </si>
  <si>
    <t xml:space="preserve">كنبه سرير ٤ حركه </t>
  </si>
  <si>
    <t>سرير منطبق اسود حديد وقماش</t>
  </si>
  <si>
    <t>صفاء</t>
  </si>
  <si>
    <t>المعادى</t>
  </si>
  <si>
    <t xml:space="preserve">سرير ٣ ادوار اسود مقاس ٩٠ </t>
  </si>
  <si>
    <t xml:space="preserve">اسيوط </t>
  </si>
  <si>
    <t xml:space="preserve">سرير كيفنج دورين مقاس ١٢٠ رمادى </t>
  </si>
  <si>
    <t xml:space="preserve">مسبق الدفع </t>
  </si>
  <si>
    <t>حسام عبدون</t>
  </si>
  <si>
    <t>الغردقه</t>
  </si>
  <si>
    <t>ميار خورشد</t>
  </si>
  <si>
    <t xml:space="preserve">سرير منطبق اسود حديد ومعدن </t>
  </si>
  <si>
    <t xml:space="preserve">الشيخ زايد ٦ اكتوبر </t>
  </si>
  <si>
    <t xml:space="preserve">سرير اسبانى  ١٤٠ اسود وبيج </t>
  </si>
  <si>
    <t>الرحاب</t>
  </si>
  <si>
    <t xml:space="preserve"> ٢. سرير فورجينا ابيض مقاس ١٢٠</t>
  </si>
  <si>
    <t>ساره</t>
  </si>
  <si>
    <t xml:space="preserve">   ٢. سرير اسبانى ابيض ١٢٠</t>
  </si>
  <si>
    <t>رحاب</t>
  </si>
  <si>
    <t>العبور</t>
  </si>
  <si>
    <t xml:space="preserve">سرير نوفال مقاس ٨٠ ابيض </t>
  </si>
  <si>
    <t>فيصل الجيزه</t>
  </si>
  <si>
    <t xml:space="preserve">سرير كيفنج ١٢٠ رمادى </t>
  </si>
  <si>
    <t>صفاء الحكيم</t>
  </si>
  <si>
    <t>العين السخنه</t>
  </si>
  <si>
    <t>سرير منطببق اسود وقماش اسود</t>
  </si>
  <si>
    <t>يوسف شناوى</t>
  </si>
  <si>
    <t xml:space="preserve">الابراهيميه . الإسكندرية </t>
  </si>
  <si>
    <t xml:space="preserve">ترابيزه قهوه علويه برف سحاب </t>
  </si>
  <si>
    <t>سرير</t>
  </si>
  <si>
    <t>منطبق</t>
  </si>
  <si>
    <t>فردى</t>
  </si>
  <si>
    <t>ركنة</t>
  </si>
  <si>
    <t>سحارة</t>
  </si>
  <si>
    <t>ركنة بسرير</t>
  </si>
  <si>
    <t>كنبة</t>
  </si>
  <si>
    <t>كرسى</t>
  </si>
  <si>
    <t>فنسيا</t>
  </si>
  <si>
    <t>4*1</t>
  </si>
  <si>
    <t>دورين</t>
  </si>
  <si>
    <t>ابيض</t>
  </si>
  <si>
    <t>اسود</t>
  </si>
  <si>
    <t>ازرق</t>
  </si>
  <si>
    <t>ثلاثه ادوار</t>
  </si>
  <si>
    <t>رمادى</t>
  </si>
  <si>
    <t>بنفسجى</t>
  </si>
  <si>
    <t>دهبي</t>
  </si>
  <si>
    <t>اللون المعدن</t>
  </si>
  <si>
    <t>EL-Maadi</t>
  </si>
  <si>
    <t>Madinet Badr</t>
  </si>
  <si>
    <t>2 ميكانزم</t>
  </si>
  <si>
    <t>بمكتبة</t>
  </si>
  <si>
    <t>رف سحاب</t>
  </si>
  <si>
    <t>الحالة</t>
  </si>
  <si>
    <t>اسامه</t>
  </si>
  <si>
    <t>تم التسليم</t>
  </si>
  <si>
    <t xml:space="preserve">المخزن ابو الغيط </t>
  </si>
  <si>
    <t>اسود وبنى</t>
  </si>
  <si>
    <t>ولاء بدوى</t>
  </si>
  <si>
    <t>عبد الرحمن يسري</t>
  </si>
  <si>
    <t>اكتوبر الجيزه</t>
  </si>
  <si>
    <t>4×1</t>
  </si>
  <si>
    <t>مرتجع</t>
  </si>
  <si>
    <t>الحج محمد السويس</t>
  </si>
  <si>
    <t xml:space="preserve">السويس </t>
  </si>
  <si>
    <t>السويس</t>
  </si>
  <si>
    <t>فنيسيا</t>
  </si>
  <si>
    <t>شيزلونج</t>
  </si>
  <si>
    <t xml:space="preserve">نبيتى </t>
  </si>
  <si>
    <t>عمرو الأسود</t>
  </si>
  <si>
    <t>الزمالك</t>
  </si>
  <si>
    <t>مخزن شيك هومز</t>
  </si>
  <si>
    <t xml:space="preserve">أكتوبر </t>
  </si>
  <si>
    <t>التجمع</t>
  </si>
  <si>
    <t>بينك</t>
  </si>
  <si>
    <t>البطاش اسكندريه</t>
  </si>
  <si>
    <t>هشام سامى</t>
  </si>
  <si>
    <t>41 كومبوند جولدن جستس الدور 4 شقه 4</t>
  </si>
  <si>
    <t>الوان</t>
  </si>
  <si>
    <t>المعرض مدينه نصر</t>
  </si>
  <si>
    <t>فاطمه محمد</t>
  </si>
  <si>
    <t>أكتوبر الجيزه</t>
  </si>
  <si>
    <t>الشيخ زايد اكتوبر</t>
  </si>
  <si>
    <t>بولا هومزمارت</t>
  </si>
  <si>
    <t>منزلى</t>
  </si>
  <si>
    <t>مدينتى</t>
  </si>
  <si>
    <t>حماده</t>
  </si>
  <si>
    <t>صفاء عبد الباقي</t>
  </si>
  <si>
    <t>المخزن</t>
  </si>
  <si>
    <t xml:space="preserve">دورين </t>
  </si>
  <si>
    <t xml:space="preserve">مرفوض </t>
  </si>
  <si>
    <t xml:space="preserve">كيمت </t>
  </si>
  <si>
    <t>٦ اكتوبر الجيزه</t>
  </si>
  <si>
    <t xml:space="preserve">فردى </t>
  </si>
  <si>
    <t>محمد حمدى</t>
  </si>
  <si>
    <t>فيسبوك</t>
  </si>
  <si>
    <t xml:space="preserve">شبرا </t>
  </si>
  <si>
    <t>t1</t>
  </si>
  <si>
    <t>رنا ميلاد</t>
  </si>
  <si>
    <t xml:space="preserve">جليم الإسكندرية </t>
  </si>
  <si>
    <t>ترابيزه</t>
  </si>
  <si>
    <t>محمد ناجى</t>
  </si>
  <si>
    <t xml:space="preserve">دوران </t>
  </si>
  <si>
    <t>احمد عبد الستار</t>
  </si>
  <si>
    <t>المندره اسكندريه</t>
  </si>
  <si>
    <t>نور</t>
  </si>
  <si>
    <t>تامر</t>
  </si>
  <si>
    <t>٢ ميكانزم</t>
  </si>
  <si>
    <t>هناء اسامه</t>
  </si>
  <si>
    <t>القطاميه</t>
  </si>
  <si>
    <t>مريم عنان</t>
  </si>
  <si>
    <t xml:space="preserve">اب تاون كايرو التجمع </t>
  </si>
  <si>
    <t>دوران</t>
  </si>
  <si>
    <t>حمدى ذكرى</t>
  </si>
  <si>
    <t xml:space="preserve">عدد الأفراد والشركات التي تتعامل معها شركة مسيو </t>
  </si>
  <si>
    <t>اجمالي المبيعات</t>
  </si>
  <si>
    <t xml:space="preserve">Sum of سعر البيع </t>
  </si>
  <si>
    <t>متوسط سعر البيع</t>
  </si>
  <si>
    <t xml:space="preserve">Average of سعر البيع </t>
  </si>
  <si>
    <t>Row Labels</t>
  </si>
  <si>
    <t>Grand Total</t>
  </si>
  <si>
    <t>ترابيزه قهوه ٢ رافع</t>
  </si>
  <si>
    <t xml:space="preserve">ترابيزه قهوه مرتفعه برف سحاب </t>
  </si>
  <si>
    <t xml:space="preserve">سرير ٣ ادورا اسود مقاس 100 </t>
  </si>
  <si>
    <t xml:space="preserve">            ٢ سرير كيفنج 100 اسود </t>
  </si>
  <si>
    <t xml:space="preserve">سرير نوفال 100 رمادى </t>
  </si>
  <si>
    <t>اسم الصنف</t>
  </si>
  <si>
    <t>الصنف</t>
  </si>
  <si>
    <t>نوع العميل</t>
  </si>
  <si>
    <t>خالد عبد القوى</t>
  </si>
  <si>
    <t>افراد</t>
  </si>
  <si>
    <t>زينا</t>
  </si>
  <si>
    <t>شركات</t>
  </si>
  <si>
    <t>احمد</t>
  </si>
  <si>
    <t>على رشوان</t>
  </si>
  <si>
    <t>احمد فخرى</t>
  </si>
  <si>
    <t>لينا</t>
  </si>
  <si>
    <t>فيصل نعيم</t>
  </si>
  <si>
    <t>حاتم العيسوي</t>
  </si>
  <si>
    <t>رنا</t>
  </si>
  <si>
    <t>اسراء ابو العنين</t>
  </si>
  <si>
    <t>حسن مغرب</t>
  </si>
  <si>
    <t>على السيد</t>
  </si>
  <si>
    <t>هشام بسيونى</t>
  </si>
  <si>
    <t>ساره وجيه</t>
  </si>
  <si>
    <t>مها</t>
  </si>
  <si>
    <t>بسام الشربينى</t>
  </si>
  <si>
    <t>هبه عبد الفتاح</t>
  </si>
  <si>
    <t>اسراء ابراهيم</t>
  </si>
  <si>
    <t>طارق كمال</t>
  </si>
  <si>
    <t>ديفد بهجت</t>
  </si>
  <si>
    <t>اياد</t>
  </si>
  <si>
    <t>عبد الله سيد</t>
  </si>
  <si>
    <t>كينج سونا</t>
  </si>
  <si>
    <t>احمد خالد</t>
  </si>
  <si>
    <t>احمد ايمن</t>
  </si>
  <si>
    <t>مصطفي غنيم</t>
  </si>
  <si>
    <t>رامى</t>
  </si>
  <si>
    <t>فؤاد المنسي</t>
  </si>
  <si>
    <t>محمد شكرى</t>
  </si>
  <si>
    <t>رندا العامرى</t>
  </si>
  <si>
    <t>بافلى هانى</t>
  </si>
  <si>
    <t>محمد عادل</t>
  </si>
  <si>
    <t>هبه عطيه</t>
  </si>
  <si>
    <t>المحافظة</t>
  </si>
  <si>
    <t>الجيزة</t>
  </si>
  <si>
    <t>الإسكندرية</t>
  </si>
  <si>
    <t>مطروح</t>
  </si>
  <si>
    <t>البحر الأحمر</t>
  </si>
  <si>
    <t>القاهرة</t>
  </si>
  <si>
    <t>القليوبية</t>
  </si>
  <si>
    <t>أسيوط</t>
  </si>
  <si>
    <t>طريقة الدفع 2</t>
  </si>
  <si>
    <t>مدة التسليم الهدف</t>
  </si>
  <si>
    <t>مدة التسليم الفعلي</t>
  </si>
  <si>
    <t>كاش</t>
  </si>
  <si>
    <t>كنبة بسرير</t>
  </si>
  <si>
    <t>(All)</t>
  </si>
  <si>
    <t>عدد الطلبات</t>
  </si>
  <si>
    <t>Count of الحالة</t>
  </si>
  <si>
    <t xml:space="preserve">Count of منصة البيع </t>
  </si>
  <si>
    <t>عدد المنتجات المباعة حسب المنصة</t>
  </si>
  <si>
    <t>اللون الأكثر مبيعا</t>
  </si>
  <si>
    <t>المنتج الأكثر مبيعا</t>
  </si>
  <si>
    <t>التسليم في الموعد</t>
  </si>
  <si>
    <t>Count of التسليم في الموعد</t>
  </si>
  <si>
    <t>On-time</t>
  </si>
  <si>
    <t>Late</t>
  </si>
  <si>
    <t>عدد الطلبات التي وصلت في الموعد</t>
  </si>
  <si>
    <t>نسبة الطلبات الملغاة التي لم تتسلم</t>
  </si>
  <si>
    <t>المدينة الأكثر مبيعا</t>
  </si>
  <si>
    <t>Count of نوع العميل</t>
  </si>
  <si>
    <t xml:space="preserve">منزلي </t>
  </si>
  <si>
    <t>الاسماعيلية</t>
  </si>
  <si>
    <t>الأقصر</t>
  </si>
  <si>
    <t>تاكي</t>
  </si>
  <si>
    <t>رمادي</t>
  </si>
  <si>
    <t>سرير كينج بني فاتح</t>
  </si>
  <si>
    <t>ريم</t>
  </si>
  <si>
    <t>محمد</t>
  </si>
  <si>
    <t>محمد ايمن</t>
  </si>
  <si>
    <t>العوامية</t>
  </si>
  <si>
    <t>Key Insights</t>
  </si>
  <si>
    <r>
      <rPr>
        <b/>
        <sz val="14"/>
        <color rgb="FF00B0F0"/>
        <rFont val="Calibri"/>
        <family val="2"/>
        <scheme val="minor"/>
      </rPr>
      <t>1. منصة المبيعات</t>
    </r>
    <r>
      <rPr>
        <sz val="11"/>
        <color theme="1"/>
        <rFont val="Calibri"/>
        <family val="2"/>
        <scheme val="minor"/>
      </rPr>
      <t xml:space="preserve">
</t>
    </r>
    <r>
      <rPr>
        <b/>
        <sz val="12"/>
        <color rgb="FFFF0000"/>
        <rFont val="Calibri"/>
        <family val="2"/>
        <scheme val="minor"/>
      </rPr>
      <t>هومزمارت</t>
    </r>
    <r>
      <rPr>
        <sz val="11"/>
        <color theme="1"/>
        <rFont val="Calibri"/>
        <family val="2"/>
        <scheme val="minor"/>
      </rPr>
      <t xml:space="preserve"> منصة البيع الأولى تحقق 78 طلبًا، متفوقة بفارق واضح عن باقي المنصات.
</t>
    </r>
    <r>
      <rPr>
        <b/>
        <sz val="14"/>
        <color rgb="FF00B0F0"/>
        <rFont val="Calibri"/>
        <family val="2"/>
        <scheme val="minor"/>
      </rPr>
      <t>2. التوزيع الجغرافي</t>
    </r>
    <r>
      <rPr>
        <sz val="11"/>
        <color theme="1"/>
        <rFont val="Calibri"/>
        <family val="2"/>
        <scheme val="minor"/>
      </rPr>
      <t xml:space="preserve">
</t>
    </r>
    <r>
      <rPr>
        <b/>
        <sz val="14"/>
        <color rgb="FFFF0000"/>
        <rFont val="Calibri"/>
        <family val="2"/>
        <scheme val="minor"/>
      </rPr>
      <t>القاهرة</t>
    </r>
    <r>
      <rPr>
        <sz val="11"/>
        <color theme="1"/>
        <rFont val="Calibri"/>
        <family val="2"/>
        <scheme val="minor"/>
      </rPr>
      <t xml:space="preserve"> هي المنطقة الأعلى من حيث إجمالي المبيعات، بفارق كبير عن باقي المناطق.
</t>
    </r>
    <r>
      <rPr>
        <b/>
        <sz val="11"/>
        <color rgb="FF00B0F0"/>
        <rFont val="Calibri"/>
        <family val="2"/>
        <scheme val="minor"/>
      </rPr>
      <t xml:space="preserve">3. المنتجات الأكثر مبيعًا
</t>
    </r>
    <r>
      <rPr>
        <sz val="11"/>
        <color theme="1"/>
        <rFont val="Calibri"/>
        <family val="2"/>
        <scheme val="minor"/>
      </rPr>
      <t xml:space="preserve">
</t>
    </r>
    <r>
      <rPr>
        <b/>
        <sz val="12"/>
        <color rgb="FFFF0000"/>
        <rFont val="Calibri"/>
        <family val="2"/>
        <scheme val="minor"/>
      </rPr>
      <t xml:space="preserve"> "سرير"</t>
    </r>
    <r>
      <rPr>
        <sz val="11"/>
        <color theme="1"/>
        <rFont val="Calibri"/>
        <family val="2"/>
        <scheme val="minor"/>
      </rPr>
      <t xml:space="preserve"> هو الأكثر مبيعًا بفارق واضح عن باقي المنتجات.
</t>
    </r>
    <r>
      <rPr>
        <b/>
        <sz val="14"/>
        <color rgb="FF00B0F0"/>
        <rFont val="Calibri"/>
        <family val="2"/>
        <scheme val="minor"/>
      </rPr>
      <t>4. التسليم</t>
    </r>
    <r>
      <rPr>
        <sz val="11"/>
        <color theme="1"/>
        <rFont val="Calibri"/>
        <family val="2"/>
        <scheme val="minor"/>
      </rPr>
      <t xml:space="preserve">
نسبة الطلبات التي تم</t>
    </r>
    <r>
      <rPr>
        <b/>
        <sz val="12"/>
        <color rgb="FFFF0000"/>
        <rFont val="Calibri"/>
        <family val="2"/>
        <scheme val="minor"/>
      </rPr>
      <t xml:space="preserve"> تسليمها</t>
    </r>
    <r>
      <rPr>
        <sz val="11"/>
        <color theme="1"/>
        <rFont val="Calibri"/>
        <family val="2"/>
        <scheme val="minor"/>
      </rPr>
      <t xml:space="preserve"> في الموعد تبلغ</t>
    </r>
    <r>
      <rPr>
        <b/>
        <sz val="12"/>
        <color rgb="FFFF0000"/>
        <rFont val="Calibri"/>
        <family val="2"/>
        <scheme val="minor"/>
      </rPr>
      <t xml:space="preserve"> 44.44%</t>
    </r>
    <r>
      <rPr>
        <sz val="11"/>
        <color theme="1"/>
        <rFont val="Calibri"/>
        <family val="2"/>
        <scheme val="minor"/>
      </rPr>
      <t xml:space="preserve">، بينما </t>
    </r>
    <r>
      <rPr>
        <b/>
        <sz val="12"/>
        <color theme="4" tint="-0.249977111117893"/>
        <rFont val="Calibri"/>
        <family val="2"/>
        <scheme val="minor"/>
      </rPr>
      <t>55.56%</t>
    </r>
    <r>
      <rPr>
        <sz val="11"/>
        <color theme="1"/>
        <rFont val="Calibri"/>
        <family val="2"/>
        <scheme val="minor"/>
      </rPr>
      <t xml:space="preserve"> من الطلبات كانت </t>
    </r>
    <r>
      <rPr>
        <b/>
        <sz val="12"/>
        <color theme="4" tint="-0.249977111117893"/>
        <rFont val="Calibri"/>
        <family val="2"/>
        <scheme val="minor"/>
      </rPr>
      <t>متأخرة</t>
    </r>
    <r>
      <rPr>
        <sz val="11"/>
        <color theme="1"/>
        <rFont val="Calibri"/>
        <family val="2"/>
        <scheme val="minor"/>
      </rPr>
      <t xml:space="preserve">.
</t>
    </r>
    <r>
      <rPr>
        <b/>
        <sz val="14"/>
        <color rgb="FF00B0F0"/>
        <rFont val="Calibri"/>
        <family val="2"/>
        <scheme val="minor"/>
      </rPr>
      <t>5. حالة الطلبات</t>
    </r>
    <r>
      <rPr>
        <sz val="11"/>
        <color theme="1"/>
        <rFont val="Calibri"/>
        <family val="2"/>
        <scheme val="minor"/>
      </rPr>
      <t xml:space="preserve">
</t>
    </r>
    <r>
      <rPr>
        <b/>
        <sz val="12"/>
        <color rgb="FFFF0000"/>
        <rFont val="Calibri"/>
        <family val="2"/>
        <scheme val="minor"/>
      </rPr>
      <t>80.95%</t>
    </r>
    <r>
      <rPr>
        <sz val="11"/>
        <color theme="1"/>
        <rFont val="Calibri"/>
        <family val="2"/>
        <scheme val="minor"/>
      </rPr>
      <t xml:space="preserve"> من الطلبات تم</t>
    </r>
    <r>
      <rPr>
        <b/>
        <sz val="11"/>
        <color theme="1"/>
        <rFont val="Calibri"/>
        <family val="2"/>
        <scheme val="minor"/>
      </rPr>
      <t xml:space="preserve"> </t>
    </r>
    <r>
      <rPr>
        <b/>
        <sz val="12"/>
        <color rgb="FFFF0000"/>
        <rFont val="Calibri"/>
        <family val="2"/>
        <scheme val="minor"/>
      </rPr>
      <t>تسليمها</t>
    </r>
    <r>
      <rPr>
        <sz val="11"/>
        <color theme="1"/>
        <rFont val="Calibri"/>
        <family val="2"/>
        <scheme val="minor"/>
      </rPr>
      <t xml:space="preserve">، بينما </t>
    </r>
    <r>
      <rPr>
        <b/>
        <sz val="12"/>
        <color rgb="FF0070C0"/>
        <rFont val="Calibri"/>
        <family val="2"/>
        <scheme val="minor"/>
      </rPr>
      <t>18.25%</t>
    </r>
    <r>
      <rPr>
        <sz val="11"/>
        <color theme="1"/>
        <rFont val="Calibri"/>
        <family val="2"/>
        <scheme val="minor"/>
      </rPr>
      <t xml:space="preserve"> تم رفضها، ونسبة المرتجع</t>
    </r>
    <r>
      <rPr>
        <b/>
        <sz val="12"/>
        <color rgb="FF0070C0"/>
        <rFont val="Calibri"/>
        <family val="2"/>
        <scheme val="minor"/>
      </rPr>
      <t xml:space="preserve"> 0.79%.</t>
    </r>
    <r>
      <rPr>
        <sz val="11"/>
        <color theme="1"/>
        <rFont val="Calibri"/>
        <family val="2"/>
        <scheme val="minor"/>
      </rPr>
      <t xml:space="preserve">
</t>
    </r>
    <r>
      <rPr>
        <b/>
        <sz val="14"/>
        <color rgb="FF00B0F0"/>
        <rFont val="Calibri"/>
        <family val="2"/>
        <scheme val="minor"/>
      </rPr>
      <t>6. نوع العملاء</t>
    </r>
    <r>
      <rPr>
        <sz val="11"/>
        <color theme="1"/>
        <rFont val="Calibri"/>
        <family val="2"/>
        <scheme val="minor"/>
      </rPr>
      <t xml:space="preserve">
</t>
    </r>
    <r>
      <rPr>
        <b/>
        <sz val="12"/>
        <color rgb="FFFF0000"/>
        <rFont val="Calibri"/>
        <family val="2"/>
        <scheme val="minor"/>
      </rPr>
      <t>الأفراد</t>
    </r>
    <r>
      <rPr>
        <sz val="11"/>
        <color theme="1"/>
        <rFont val="Calibri"/>
        <family val="2"/>
        <scheme val="minor"/>
      </rPr>
      <t xml:space="preserve"> يمثلون الجزء الأكبر من الطلبات مقارنة بالشركات (91 مقابل 35).</t>
    </r>
  </si>
  <si>
    <t>Recommendations</t>
  </si>
  <si>
    <r>
      <rPr>
        <b/>
        <sz val="14"/>
        <color rgb="FFFF0000"/>
        <rFont val="Calibri"/>
        <family val="2"/>
        <scheme val="minor"/>
      </rPr>
      <t>1. تحسين أداء التوصيل</t>
    </r>
    <r>
      <rPr>
        <sz val="11"/>
        <color theme="1"/>
        <rFont val="Calibri"/>
        <family val="2"/>
        <scheme val="minor"/>
      </rPr>
      <t xml:space="preserve">
مراجعة أسباب تأخر الطلبات وتحسين عمليات الشحن والتوصيل لرفع نسبة التسليم في الموعد.
</t>
    </r>
    <r>
      <rPr>
        <b/>
        <sz val="14"/>
        <color rgb="FFFF0000"/>
        <rFont val="Calibri"/>
        <family val="2"/>
        <scheme val="minor"/>
      </rPr>
      <t>2. التركيز على المنصة الأقوى</t>
    </r>
    <r>
      <rPr>
        <sz val="14"/>
        <color theme="7" tint="-0.499984740745262"/>
        <rFont val="Calibri"/>
        <family val="2"/>
        <scheme val="minor"/>
      </rPr>
      <t xml:space="preserve">
</t>
    </r>
    <r>
      <rPr>
        <sz val="11"/>
        <color theme="1"/>
        <rFont val="Calibri"/>
        <family val="2"/>
        <scheme val="minor"/>
      </rPr>
      <t xml:space="preserve">
زيادة التركيز التسويقي على منصة هومزمارت الأعلى أداءً، مع تحليل أسباب تفوقها على باقي المنصات.
</t>
    </r>
    <r>
      <rPr>
        <b/>
        <sz val="14"/>
        <color rgb="FFFF0000"/>
        <rFont val="Calibri"/>
        <family val="2"/>
        <scheme val="minor"/>
      </rPr>
      <t>3. دعم المنتجات الأكثر مبيعًا</t>
    </r>
    <r>
      <rPr>
        <sz val="11"/>
        <color theme="1"/>
        <rFont val="Calibri"/>
        <family val="2"/>
        <scheme val="minor"/>
      </rPr>
      <t xml:space="preserve">
ضمان توافر المنتجات الأكثر مبيعًا، خاصة المنتجات المتصدرة للمبيعات، لتجنب فقدان فرص البيع بسبب نفاد المخزون.
</t>
    </r>
    <r>
      <rPr>
        <b/>
        <sz val="14"/>
        <color rgb="FFFF0000"/>
        <rFont val="Calibri"/>
        <family val="2"/>
        <scheme val="minor"/>
      </rPr>
      <t xml:space="preserve">4. دراسة المناطق الأقل أداءً
</t>
    </r>
    <r>
      <rPr>
        <sz val="11"/>
        <color theme="1"/>
        <rFont val="Calibri"/>
        <family val="2"/>
        <scheme val="minor"/>
      </rPr>
      <t xml:space="preserve">
تحليل أسباب انخفاض المبيعات في المناطق الأقل أداءً، مثل اختلاف الطلب أو التغطية أو النشاط التسويقي.
</t>
    </r>
    <r>
      <rPr>
        <b/>
        <sz val="14"/>
        <color rgb="FFFF0000"/>
        <rFont val="Calibri"/>
        <family val="2"/>
        <scheme val="minor"/>
      </rPr>
      <t xml:space="preserve">5. تقليل الطلبات المرفوضة
</t>
    </r>
    <r>
      <rPr>
        <sz val="11"/>
        <color theme="1"/>
        <rFont val="Calibri"/>
        <family val="2"/>
        <scheme val="minor"/>
      </rPr>
      <t xml:space="preserve">
تحليل أسباب ارتفاع نسبة الطلبات المرفوضة والعمل على تحسين تأكيد الطلبات قبل تجهيزها وشحنها.</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</si>
</sst>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20" x14ac:knownFonts="1">
    <font>
      <sz val="11"/>
      <color theme="1"/>
      <name val="Calibri"/>
      <family val="2"/>
      <scheme val="minor"/>
    </font>
    <font>
      <b/>
      <sz val="12"/>
      <color theme="1"/>
      <name val="Calibri"/>
      <family val="2"/>
      <scheme val="minor"/>
    </font>
    <font>
      <b/>
      <sz val="11"/>
      <color theme="1"/>
      <name val="Calibri"/>
      <family val="2"/>
      <scheme val="minor"/>
    </font>
    <font>
      <b/>
      <sz val="14"/>
      <color theme="4" tint="-0.249977111117893"/>
      <name val="Times New Roman"/>
      <family val="1"/>
    </font>
    <font>
      <b/>
      <sz val="20"/>
      <color rgb="FFFF0000"/>
      <name val="Times New Roman"/>
      <family val="1"/>
    </font>
    <font>
      <b/>
      <sz val="14"/>
      <color theme="1"/>
      <name val="Calibri"/>
      <family val="2"/>
      <scheme val="minor"/>
    </font>
    <font>
      <sz val="11"/>
      <color theme="1"/>
      <name val="Times New Roman"/>
      <family val="1"/>
    </font>
    <font>
      <b/>
      <sz val="12"/>
      <color theme="1"/>
      <name val="Times New Roman"/>
      <family val="1"/>
    </font>
    <font>
      <b/>
      <sz val="14"/>
      <color theme="1"/>
      <name val="Times New Roman"/>
      <family val="1"/>
    </font>
    <font>
      <b/>
      <sz val="11"/>
      <color theme="1"/>
      <name val="Times New Roman"/>
      <family val="1"/>
    </font>
    <font>
      <sz val="11"/>
      <color theme="1"/>
      <name val="Calibri"/>
      <family val="2"/>
      <scheme val="minor"/>
    </font>
    <font>
      <sz val="11"/>
      <color rgb="FFD9BFA0"/>
      <name val="Calibri"/>
      <family val="2"/>
      <scheme val="minor"/>
    </font>
    <font>
      <b/>
      <sz val="12"/>
      <color rgb="FFFF0000"/>
      <name val="Calibri"/>
      <family val="2"/>
      <scheme val="minor"/>
    </font>
    <font>
      <b/>
      <sz val="14"/>
      <color rgb="FFFF0000"/>
      <name val="Calibri"/>
      <family val="2"/>
      <scheme val="minor"/>
    </font>
    <font>
      <b/>
      <sz val="12"/>
      <color rgb="FF0070C0"/>
      <name val="Calibri"/>
      <family val="2"/>
      <scheme val="minor"/>
    </font>
    <font>
      <b/>
      <sz val="12"/>
      <color theme="4" tint="-0.249977111117893"/>
      <name val="Calibri"/>
      <family val="2"/>
      <scheme val="minor"/>
    </font>
    <font>
      <b/>
      <sz val="14"/>
      <color rgb="FF00B0F0"/>
      <name val="Calibri"/>
      <family val="2"/>
      <scheme val="minor"/>
    </font>
    <font>
      <b/>
      <sz val="11"/>
      <color rgb="FF00B0F0"/>
      <name val="Calibri"/>
      <family val="2"/>
      <scheme val="minor"/>
    </font>
    <font>
      <b/>
      <sz val="18"/>
      <color theme="1"/>
      <name val="Calibri"/>
      <family val="2"/>
      <scheme val="minor"/>
    </font>
    <font>
      <sz val="14"/>
      <color theme="7" tint="-0.499984740745262"/>
      <name val="Calibri"/>
      <family val="2"/>
      <scheme val="minor"/>
    </font>
  </fonts>
  <fills count="4">
    <fill>
      <patternFill patternType="none"/>
    </fill>
    <fill>
      <patternFill patternType="gray125"/>
    </fill>
    <fill>
      <patternFill patternType="solid">
        <fgColor rgb="FFD9BFA0"/>
        <bgColor indexed="64"/>
      </patternFill>
    </fill>
    <fill>
      <patternFill patternType="solid">
        <fgColor theme="4" tint="-0.249977111117893"/>
        <bgColor indexed="64"/>
      </patternFill>
    </fill>
  </fills>
  <borders count="1">
    <border>
      <left/>
      <right/>
      <top/>
      <bottom/>
      <diagonal/>
    </border>
  </borders>
  <cellStyleXfs count="2">
    <xf numFmtId="0" fontId="0" fillId="0" borderId="0"/>
    <xf numFmtId="43" fontId="10" fillId="0" borderId="0" applyFont="0" applyFill="0" applyBorder="0" applyAlignment="0" applyProtection="0"/>
  </cellStyleXfs>
  <cellXfs count="29">
    <xf numFmtId="0" fontId="0" fillId="0" borderId="0" xfId="0"/>
    <xf numFmtId="0" fontId="0" fillId="2" borderId="0" xfId="0" applyFill="1"/>
    <xf numFmtId="0"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3" borderId="0" xfId="0" applyFill="1"/>
    <xf numFmtId="164" fontId="0" fillId="0" borderId="0" xfId="0" applyNumberFormat="1"/>
    <xf numFmtId="10" fontId="0" fillId="0" borderId="0" xfId="0" applyNumberFormat="1"/>
    <xf numFmtId="0" fontId="6" fillId="2" borderId="0" xfId="0" applyFont="1" applyFill="1"/>
    <xf numFmtId="0" fontId="4" fillId="2" borderId="0" xfId="0" applyFont="1" applyFill="1"/>
    <xf numFmtId="0" fontId="8" fillId="2" borderId="0" xfId="0" applyFont="1" applyFill="1"/>
    <xf numFmtId="0" fontId="5" fillId="2" borderId="0" xfId="0" applyFont="1" applyFill="1"/>
    <xf numFmtId="0" fontId="9" fillId="2" borderId="0" xfId="0" applyFont="1" applyFill="1"/>
    <xf numFmtId="0" fontId="2" fillId="2" borderId="0" xfId="0" applyFont="1" applyFill="1"/>
    <xf numFmtId="0" fontId="3" fillId="2" borderId="0" xfId="0" applyFont="1" applyFill="1"/>
    <xf numFmtId="0" fontId="7" fillId="2" borderId="0" xfId="0" applyFont="1" applyFill="1" applyAlignment="1">
      <alignment horizontal="right" indent="2"/>
    </xf>
    <xf numFmtId="0" fontId="7" fillId="2" borderId="0" xfId="0" applyFont="1" applyFill="1"/>
    <xf numFmtId="0" fontId="1" fillId="2" borderId="0" xfId="0" applyFont="1" applyFill="1"/>
    <xf numFmtId="164" fontId="0" fillId="0" borderId="0" xfId="1" applyNumberFormat="1" applyFont="1"/>
    <xf numFmtId="0" fontId="0" fillId="3" borderId="0" xfId="0" applyFill="1" applyAlignment="1">
      <alignment horizontal="center"/>
    </xf>
    <xf numFmtId="0" fontId="0" fillId="0" borderId="0" xfId="0" applyAlignment="1">
      <alignment horizontal="right"/>
    </xf>
    <xf numFmtId="0" fontId="11" fillId="2" borderId="0" xfId="0" applyFont="1" applyFill="1"/>
    <xf numFmtId="0" fontId="0" fillId="2" borderId="0" xfId="0" applyFill="1" applyAlignment="1">
      <alignment horizontal="right" vertical="center"/>
    </xf>
    <xf numFmtId="0" fontId="18" fillId="2" borderId="0" xfId="0" applyFont="1" applyFill="1" applyAlignment="1">
      <alignment horizontal="center" vertical="center"/>
    </xf>
    <xf numFmtId="0" fontId="0" fillId="2" borderId="0" xfId="0" applyFill="1" applyAlignment="1">
      <alignment horizontal="right" vertical="top" wrapText="1" readingOrder="2"/>
    </xf>
    <xf numFmtId="0" fontId="0" fillId="2" borderId="0" xfId="0" applyFill="1" applyAlignment="1">
      <alignment horizontal="center"/>
    </xf>
    <xf numFmtId="0" fontId="18" fillId="2" borderId="0" xfId="0" applyFont="1" applyFill="1" applyAlignment="1">
      <alignment horizontal="center"/>
    </xf>
    <xf numFmtId="0" fontId="0" fillId="2" borderId="0" xfId="0" applyFill="1" applyAlignment="1">
      <alignment horizontal="right" vertical="top" readingOrder="2"/>
    </xf>
  </cellXfs>
  <cellStyles count="2">
    <cellStyle name="Comma" xfId="1" builtinId="3"/>
    <cellStyle name="Normal" xfId="0" builtinId="0"/>
  </cellStyles>
  <dxfs count="8">
    <dxf>
      <numFmt numFmtId="1" formatCode="0"/>
    </dxf>
    <dxf>
      <numFmt numFmtId="1" formatCode="0"/>
    </dxf>
    <dxf>
      <numFmt numFmtId="164" formatCode="_(* #,##0_);_(* \(#,##0\);_(* &quot;-&quot;??_);_(@_)"/>
    </dxf>
    <dxf>
      <numFmt numFmtId="164" formatCode="_(* #,##0_);_(* \(#,##0\);_(* &quot;-&quot;??_);_(@_)"/>
    </dxf>
    <dxf>
      <font>
        <color rgb="FFD9BFA0"/>
      </font>
    </dxf>
    <dxf>
      <font>
        <b/>
        <i val="0"/>
        <u val="none"/>
        <sz val="12"/>
        <color rgb="FF142F40"/>
        <name val="Calibri"/>
        <family val="2"/>
        <scheme val="minor"/>
      </font>
      <border>
        <left style="thin">
          <color auto="1"/>
        </left>
        <right style="thin">
          <color auto="1"/>
        </right>
        <top style="thin">
          <color auto="1"/>
        </top>
        <bottom style="thin">
          <color auto="1"/>
        </bottom>
      </border>
    </dxf>
    <dxf>
      <font>
        <sz val="12"/>
      </font>
      <fill>
        <patternFill>
          <bgColor rgb="FF8C612B"/>
        </patternFill>
      </fill>
    </dxf>
    <dxf>
      <font>
        <color theme="0"/>
      </font>
      <fill>
        <patternFill>
          <bgColor rgb="FF8C612B"/>
        </patternFill>
      </fill>
      <border diagonalUp="0" diagonalDown="0">
        <left/>
        <right/>
        <top/>
        <bottom/>
        <vertical/>
        <horizontal/>
      </border>
    </dxf>
  </dxfs>
  <tableStyles count="4" defaultTableStyle="TableStyleMedium2" defaultPivotStyle="PivotStyleLight16">
    <tableStyle name="Invisible" pivot="0" table="0" count="0" xr9:uid="{AA73528B-8D85-432A-9172-AA70B5E8C669}"/>
    <tableStyle name="Slicer Style 1" pivot="0" table="0" count="1" xr9:uid="{7CE37A78-9BCA-46B9-97BE-2144586E5C51}">
      <tableStyleElement type="wholeTable" dxfId="7"/>
    </tableStyle>
    <tableStyle name="Slicer Style 2" pivot="0" table="0" count="5" xr9:uid="{9F3FEBE8-265E-416C-B474-A78D47586FDF}">
      <tableStyleElement type="wholeTable" dxfId="6"/>
      <tableStyleElement type="headerRow" dxfId="5"/>
    </tableStyle>
    <tableStyle name="Slicer Style 3" pivot="0" table="0" count="1" xr9:uid="{79B4C2D7-FC32-40F5-86DB-F80D23E26006}">
      <tableStyleElement type="headerRow" dxfId="4"/>
    </tableStyle>
  </tableStyles>
  <colors>
    <mruColors>
      <color rgb="FFD9BFA0"/>
      <color rgb="FF142F40"/>
      <color rgb="FFF2EEEB"/>
      <color rgb="FF8C612B"/>
      <color rgb="FFBF8D50"/>
    </mruColors>
  </colors>
  <extLst>
    <ext xmlns:x14="http://schemas.microsoft.com/office/spreadsheetml/2009/9/main" uri="{46F421CA-312F-682f-3DD2-61675219B42D}">
      <x14:dxfs count="3">
        <dxf>
          <fill>
            <patternFill>
              <bgColor rgb="FF00B0F0"/>
            </patternFill>
          </fill>
        </dxf>
        <dxf>
          <fill>
            <patternFill>
              <bgColor rgb="FFBF8D50"/>
            </patternFill>
          </fill>
          <border>
            <left style="thin">
              <color auto="1"/>
            </left>
            <right style="thin">
              <color auto="1"/>
            </right>
            <top style="thin">
              <color auto="1"/>
            </top>
            <bottom style="thin">
              <color auto="1"/>
            </bottom>
          </border>
        </dxf>
        <dxf>
          <fill>
            <patternFill>
              <bgColor rgb="FFBF8D50"/>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2"/>
            <x14:slicerStyleElement type="selectedItemWithNoData" dxfId="1"/>
            <x14:slicerStyleElement type="hoveredSelectedItemWithNo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Analysis.xlsx]Pivot Tables!PivotTable10</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9BF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7017131807664891E-17"/>
              <c:y val="-0.32910632190423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
              <c:y val="-6.02248950403830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6.901802285057597E-17"/>
              <c:y val="-6.22530268982884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6.901802285057597E-17"/>
              <c:y val="-5.38016345427777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6.901802285057597E-17"/>
              <c:y val="-4.97463823640533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6.8068527230659562E-17"/>
              <c:y val="-8.30895112291745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3.764662917418117E-3"/>
              <c:y val="-7.57798065839938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
              <c:y val="-9.8576718675604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1.3803604570115194E-16"/>
              <c:y val="-6.25929033592641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D9BFA0"/>
          </a:solidFill>
          <a:ln>
            <a:noFill/>
          </a:ln>
          <a:effectLst/>
        </c:spPr>
        <c:dLbl>
          <c:idx val="0"/>
          <c:layout>
            <c:manualLayout>
              <c:x val="0"/>
              <c:y val="-0.3406860101391435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D9BFA0"/>
          </a:solidFill>
          <a:ln>
            <a:noFill/>
          </a:ln>
          <a:effectLst/>
        </c:spPr>
        <c:dLbl>
          <c:idx val="0"/>
          <c:layout>
            <c:manualLayout>
              <c:x val="0"/>
              <c:y val="-6.252615683313558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D9BFA0"/>
          </a:solidFill>
          <a:ln>
            <a:noFill/>
          </a:ln>
          <a:effectLst/>
        </c:spPr>
        <c:dLbl>
          <c:idx val="0"/>
          <c:layout>
            <c:manualLayout>
              <c:x val="0"/>
              <c:y val="-6.553500161794856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D9BFA0"/>
          </a:solidFill>
          <a:ln>
            <a:noFill/>
          </a:ln>
          <a:effectLst/>
        </c:spPr>
        <c:dLbl>
          <c:idx val="0"/>
          <c:layout>
            <c:manualLayout>
              <c:x val="3.623187372136434E-3"/>
              <c:y val="-5.951677273217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D9BFA0"/>
          </a:solidFill>
          <a:ln>
            <a:noFill/>
          </a:ln>
          <a:effectLst/>
        </c:spPr>
        <c:dLbl>
          <c:idx val="0"/>
          <c:layout>
            <c:manualLayout>
              <c:x val="7.246374744272868E-3"/>
              <c:y val="-0.1025908747707906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D9BFA0"/>
          </a:solidFill>
          <a:ln>
            <a:noFill/>
          </a:ln>
          <a:effectLst/>
        </c:spPr>
        <c:dLbl>
          <c:idx val="0"/>
          <c:layout>
            <c:manualLayout>
              <c:x val="0"/>
              <c:y val="-9.107000323589682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D9BFA0"/>
          </a:solidFill>
          <a:ln>
            <a:noFill/>
          </a:ln>
          <a:effectLst/>
        </c:spPr>
        <c:dLbl>
          <c:idx val="0"/>
          <c:layout>
            <c:manualLayout>
              <c:x val="0"/>
              <c:y val="-7.020655808434904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D9BFA0"/>
          </a:solidFill>
          <a:ln>
            <a:noFill/>
          </a:ln>
          <a:effectLst/>
        </c:spPr>
        <c:dLbl>
          <c:idx val="0"/>
          <c:layout>
            <c:manualLayout>
              <c:x val="0"/>
              <c:y val="-0.1099557760759357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066783151922176E-2"/>
          <c:y val="2.5677920396936685E-2"/>
          <c:w val="0.94513223523936185"/>
          <c:h val="0.69124381115030809"/>
        </c:manualLayout>
      </c:layout>
      <c:barChart>
        <c:barDir val="col"/>
        <c:grouping val="stacked"/>
        <c:varyColors val="0"/>
        <c:ser>
          <c:idx val="0"/>
          <c:order val="0"/>
          <c:tx>
            <c:strRef>
              <c:f>'Pivot Tables'!$Z$7</c:f>
              <c:strCache>
                <c:ptCount val="1"/>
                <c:pt idx="0">
                  <c:v>Total</c:v>
                </c:pt>
              </c:strCache>
            </c:strRef>
          </c:tx>
          <c:spPr>
            <a:solidFill>
              <a:srgbClr val="D9BFA0"/>
            </a:solidFill>
            <a:ln>
              <a:noFill/>
            </a:ln>
            <a:effectLst/>
          </c:spPr>
          <c:invertIfNegative val="0"/>
          <c:dPt>
            <c:idx val="0"/>
            <c:invertIfNegative val="0"/>
            <c:bubble3D val="0"/>
            <c:spPr>
              <a:solidFill>
                <a:srgbClr val="D9BFA0"/>
              </a:solidFill>
              <a:ln>
                <a:noFill/>
              </a:ln>
              <a:effectLst/>
            </c:spPr>
            <c:extLst>
              <c:ext xmlns:c16="http://schemas.microsoft.com/office/drawing/2014/chart" uri="{C3380CC4-5D6E-409C-BE32-E72D297353CC}">
                <c16:uniqueId val="{00000001-AD37-44A7-8072-D60325786A66}"/>
              </c:ext>
            </c:extLst>
          </c:dPt>
          <c:dPt>
            <c:idx val="1"/>
            <c:invertIfNegative val="0"/>
            <c:bubble3D val="0"/>
            <c:spPr>
              <a:solidFill>
                <a:srgbClr val="D9BFA0"/>
              </a:solidFill>
              <a:ln>
                <a:noFill/>
              </a:ln>
              <a:effectLst/>
            </c:spPr>
            <c:extLst>
              <c:ext xmlns:c16="http://schemas.microsoft.com/office/drawing/2014/chart" uri="{C3380CC4-5D6E-409C-BE32-E72D297353CC}">
                <c16:uniqueId val="{00000002-AD37-44A7-8072-D60325786A66}"/>
              </c:ext>
            </c:extLst>
          </c:dPt>
          <c:dPt>
            <c:idx val="2"/>
            <c:invertIfNegative val="0"/>
            <c:bubble3D val="0"/>
            <c:spPr>
              <a:solidFill>
                <a:srgbClr val="D9BFA0"/>
              </a:solidFill>
              <a:ln>
                <a:noFill/>
              </a:ln>
              <a:effectLst/>
            </c:spPr>
            <c:extLst>
              <c:ext xmlns:c16="http://schemas.microsoft.com/office/drawing/2014/chart" uri="{C3380CC4-5D6E-409C-BE32-E72D297353CC}">
                <c16:uniqueId val="{00000003-AD37-44A7-8072-D60325786A66}"/>
              </c:ext>
            </c:extLst>
          </c:dPt>
          <c:dPt>
            <c:idx val="3"/>
            <c:invertIfNegative val="0"/>
            <c:bubble3D val="0"/>
            <c:spPr>
              <a:solidFill>
                <a:srgbClr val="D9BFA0"/>
              </a:solidFill>
              <a:ln>
                <a:noFill/>
              </a:ln>
              <a:effectLst/>
            </c:spPr>
            <c:extLst>
              <c:ext xmlns:c16="http://schemas.microsoft.com/office/drawing/2014/chart" uri="{C3380CC4-5D6E-409C-BE32-E72D297353CC}">
                <c16:uniqueId val="{00000004-AD37-44A7-8072-D60325786A66}"/>
              </c:ext>
            </c:extLst>
          </c:dPt>
          <c:dPt>
            <c:idx val="4"/>
            <c:invertIfNegative val="0"/>
            <c:bubble3D val="0"/>
            <c:spPr>
              <a:solidFill>
                <a:srgbClr val="D9BFA0"/>
              </a:solidFill>
              <a:ln>
                <a:noFill/>
              </a:ln>
              <a:effectLst/>
            </c:spPr>
            <c:extLst>
              <c:ext xmlns:c16="http://schemas.microsoft.com/office/drawing/2014/chart" uri="{C3380CC4-5D6E-409C-BE32-E72D297353CC}">
                <c16:uniqueId val="{00000005-AD37-44A7-8072-D60325786A66}"/>
              </c:ext>
            </c:extLst>
          </c:dPt>
          <c:dPt>
            <c:idx val="5"/>
            <c:invertIfNegative val="0"/>
            <c:bubble3D val="0"/>
            <c:spPr>
              <a:solidFill>
                <a:srgbClr val="D9BFA0"/>
              </a:solidFill>
              <a:ln>
                <a:noFill/>
              </a:ln>
              <a:effectLst/>
            </c:spPr>
            <c:extLst>
              <c:ext xmlns:c16="http://schemas.microsoft.com/office/drawing/2014/chart" uri="{C3380CC4-5D6E-409C-BE32-E72D297353CC}">
                <c16:uniqueId val="{00000006-AD37-44A7-8072-D60325786A66}"/>
              </c:ext>
            </c:extLst>
          </c:dPt>
          <c:dPt>
            <c:idx val="6"/>
            <c:invertIfNegative val="0"/>
            <c:bubble3D val="0"/>
            <c:spPr>
              <a:solidFill>
                <a:srgbClr val="D9BFA0"/>
              </a:solidFill>
              <a:ln>
                <a:noFill/>
              </a:ln>
              <a:effectLst/>
            </c:spPr>
            <c:extLst>
              <c:ext xmlns:c16="http://schemas.microsoft.com/office/drawing/2014/chart" uri="{C3380CC4-5D6E-409C-BE32-E72D297353CC}">
                <c16:uniqueId val="{00000007-AD37-44A7-8072-D60325786A66}"/>
              </c:ext>
            </c:extLst>
          </c:dPt>
          <c:dPt>
            <c:idx val="7"/>
            <c:invertIfNegative val="0"/>
            <c:bubble3D val="0"/>
            <c:spPr>
              <a:solidFill>
                <a:srgbClr val="D9BFA0"/>
              </a:solidFill>
              <a:ln>
                <a:noFill/>
              </a:ln>
              <a:effectLst/>
            </c:spPr>
            <c:extLst>
              <c:ext xmlns:c16="http://schemas.microsoft.com/office/drawing/2014/chart" uri="{C3380CC4-5D6E-409C-BE32-E72D297353CC}">
                <c16:uniqueId val="{00000008-AD37-44A7-8072-D60325786A66}"/>
              </c:ext>
            </c:extLst>
          </c:dPt>
          <c:dLbls>
            <c:dLbl>
              <c:idx val="0"/>
              <c:layout>
                <c:manualLayout>
                  <c:x val="0"/>
                  <c:y val="-0.3406860101391435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D37-44A7-8072-D60325786A66}"/>
                </c:ext>
              </c:extLst>
            </c:dLbl>
            <c:dLbl>
              <c:idx val="1"/>
              <c:layout>
                <c:manualLayout>
                  <c:x val="7.246374744272868E-3"/>
                  <c:y val="-0.1025908747707906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D37-44A7-8072-D60325786A66}"/>
                </c:ext>
              </c:extLst>
            </c:dLbl>
            <c:dLbl>
              <c:idx val="2"/>
              <c:layout>
                <c:manualLayout>
                  <c:x val="0"/>
                  <c:y val="-9.107000323589682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D37-44A7-8072-D60325786A66}"/>
                </c:ext>
              </c:extLst>
            </c:dLbl>
            <c:dLbl>
              <c:idx val="3"/>
              <c:layout>
                <c:manualLayout>
                  <c:x val="0"/>
                  <c:y val="-0.1099557760759357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D37-44A7-8072-D60325786A66}"/>
                </c:ext>
              </c:extLst>
            </c:dLbl>
            <c:dLbl>
              <c:idx val="4"/>
              <c:layout>
                <c:manualLayout>
                  <c:x val="0"/>
                  <c:y val="-7.020655808434904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D37-44A7-8072-D60325786A66}"/>
                </c:ext>
              </c:extLst>
            </c:dLbl>
            <c:dLbl>
              <c:idx val="5"/>
              <c:layout>
                <c:manualLayout>
                  <c:x val="3.623187372136434E-3"/>
                  <c:y val="-5.9516772732175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D37-44A7-8072-D60325786A66}"/>
                </c:ext>
              </c:extLst>
            </c:dLbl>
            <c:dLbl>
              <c:idx val="6"/>
              <c:layout>
                <c:manualLayout>
                  <c:x val="0"/>
                  <c:y val="-6.252615683313558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D37-44A7-8072-D60325786A66}"/>
                </c:ext>
              </c:extLst>
            </c:dLbl>
            <c:dLbl>
              <c:idx val="7"/>
              <c:layout>
                <c:manualLayout>
                  <c:x val="0"/>
                  <c:y val="-6.553500161794856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D37-44A7-8072-D60325786A6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Tables'!$Y$8:$Y$16</c:f>
              <c:strCache>
                <c:ptCount val="8"/>
                <c:pt idx="0">
                  <c:v>هومزمارت</c:v>
                </c:pt>
                <c:pt idx="1">
                  <c:v>شيك هومز</c:v>
                </c:pt>
                <c:pt idx="2">
                  <c:v>اوسكار ريتن </c:v>
                </c:pt>
                <c:pt idx="3">
                  <c:v>تاكي</c:v>
                </c:pt>
                <c:pt idx="4">
                  <c:v>السويس</c:v>
                </c:pt>
                <c:pt idx="5">
                  <c:v>فيسبوك</c:v>
                </c:pt>
                <c:pt idx="6">
                  <c:v>منزلي </c:v>
                </c:pt>
                <c:pt idx="7">
                  <c:v>كيمت </c:v>
                </c:pt>
              </c:strCache>
            </c:strRef>
          </c:cat>
          <c:val>
            <c:numRef>
              <c:f>'Pivot Tables'!$Z$8:$Z$16</c:f>
              <c:numCache>
                <c:formatCode>General</c:formatCode>
                <c:ptCount val="8"/>
                <c:pt idx="0">
                  <c:v>78</c:v>
                </c:pt>
                <c:pt idx="1">
                  <c:v>16</c:v>
                </c:pt>
                <c:pt idx="2">
                  <c:v>13</c:v>
                </c:pt>
                <c:pt idx="3">
                  <c:v>9</c:v>
                </c:pt>
                <c:pt idx="4">
                  <c:v>4</c:v>
                </c:pt>
                <c:pt idx="5">
                  <c:v>3</c:v>
                </c:pt>
                <c:pt idx="6">
                  <c:v>2</c:v>
                </c:pt>
                <c:pt idx="7">
                  <c:v>1</c:v>
                </c:pt>
              </c:numCache>
            </c:numRef>
          </c:val>
          <c:extLst>
            <c:ext xmlns:c16="http://schemas.microsoft.com/office/drawing/2014/chart" uri="{C3380CC4-5D6E-409C-BE32-E72D297353CC}">
              <c16:uniqueId val="{00000000-AD37-44A7-8072-D60325786A66}"/>
            </c:ext>
          </c:extLst>
        </c:ser>
        <c:dLbls>
          <c:dLblPos val="ctr"/>
          <c:showLegendKey val="0"/>
          <c:showVal val="1"/>
          <c:showCatName val="0"/>
          <c:showSerName val="0"/>
          <c:showPercent val="0"/>
          <c:showBubbleSize val="0"/>
        </c:dLbls>
        <c:gapWidth val="150"/>
        <c:overlap val="100"/>
        <c:axId val="112851055"/>
        <c:axId val="112850575"/>
      </c:barChart>
      <c:catAx>
        <c:axId val="1128510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2850575"/>
        <c:crosses val="autoZero"/>
        <c:auto val="1"/>
        <c:lblAlgn val="ctr"/>
        <c:lblOffset val="100"/>
        <c:noMultiLvlLbl val="0"/>
      </c:catAx>
      <c:valAx>
        <c:axId val="11285057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12851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C612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Analysis.xlsx]Pivot Tables!PivotTable11</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9BF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9437297748505"/>
          <c:y val="2.9925343729095787E-2"/>
          <c:w val="0.6703824911666838"/>
          <c:h val="0.8862894537381153"/>
        </c:manualLayout>
      </c:layout>
      <c:barChart>
        <c:barDir val="bar"/>
        <c:grouping val="stacked"/>
        <c:varyColors val="0"/>
        <c:ser>
          <c:idx val="0"/>
          <c:order val="0"/>
          <c:tx>
            <c:strRef>
              <c:f>'Pivot Tables'!$AI$6</c:f>
              <c:strCache>
                <c:ptCount val="1"/>
                <c:pt idx="0">
                  <c:v>Total</c:v>
                </c:pt>
              </c:strCache>
            </c:strRef>
          </c:tx>
          <c:spPr>
            <a:solidFill>
              <a:srgbClr val="D9BFA0"/>
            </a:solidFill>
            <a:ln>
              <a:noFill/>
            </a:ln>
            <a:effectLst/>
          </c:spPr>
          <c:invertIfNegative val="0"/>
          <c:cat>
            <c:strRef>
              <c:f>'Pivot Tables'!$AH$7:$AH$13</c:f>
              <c:strCache>
                <c:ptCount val="6"/>
                <c:pt idx="0">
                  <c:v>ركنة</c:v>
                </c:pt>
                <c:pt idx="1">
                  <c:v>كرسى</c:v>
                </c:pt>
                <c:pt idx="2">
                  <c:v>شيزلونج</c:v>
                </c:pt>
                <c:pt idx="3">
                  <c:v>ترابيزه</c:v>
                </c:pt>
                <c:pt idx="4">
                  <c:v>كنبة</c:v>
                </c:pt>
                <c:pt idx="5">
                  <c:v>سرير</c:v>
                </c:pt>
              </c:strCache>
            </c:strRef>
          </c:cat>
          <c:val>
            <c:numRef>
              <c:f>'Pivot Tables'!$AI$7:$AI$13</c:f>
              <c:numCache>
                <c:formatCode>General</c:formatCode>
                <c:ptCount val="6"/>
                <c:pt idx="0">
                  <c:v>1</c:v>
                </c:pt>
                <c:pt idx="1">
                  <c:v>1</c:v>
                </c:pt>
                <c:pt idx="2">
                  <c:v>1</c:v>
                </c:pt>
                <c:pt idx="3">
                  <c:v>17</c:v>
                </c:pt>
                <c:pt idx="4">
                  <c:v>18</c:v>
                </c:pt>
                <c:pt idx="5">
                  <c:v>88</c:v>
                </c:pt>
              </c:numCache>
            </c:numRef>
          </c:val>
          <c:extLst>
            <c:ext xmlns:c16="http://schemas.microsoft.com/office/drawing/2014/chart" uri="{C3380CC4-5D6E-409C-BE32-E72D297353CC}">
              <c16:uniqueId val="{00000000-47AA-4785-B913-7832243DE268}"/>
            </c:ext>
          </c:extLst>
        </c:ser>
        <c:dLbls>
          <c:showLegendKey val="0"/>
          <c:showVal val="0"/>
          <c:showCatName val="0"/>
          <c:showSerName val="0"/>
          <c:showPercent val="0"/>
          <c:showBubbleSize val="0"/>
        </c:dLbls>
        <c:gapWidth val="150"/>
        <c:overlap val="100"/>
        <c:axId val="8017136"/>
        <c:axId val="8019056"/>
      </c:barChart>
      <c:catAx>
        <c:axId val="8017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019056"/>
        <c:crosses val="autoZero"/>
        <c:auto val="1"/>
        <c:lblAlgn val="ctr"/>
        <c:lblOffset val="100"/>
        <c:noMultiLvlLbl val="0"/>
      </c:catAx>
      <c:valAx>
        <c:axId val="8019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D9BFA0"/>
                </a:solidFill>
                <a:latin typeface="+mn-lt"/>
                <a:ea typeface="+mn-ea"/>
                <a:cs typeface="+mn-cs"/>
              </a:defRPr>
            </a:pPr>
            <a:endParaRPr lang="en-US"/>
          </a:p>
        </c:txPr>
        <c:crossAx val="8017136"/>
        <c:crosses val="autoZero"/>
        <c:crossBetween val="between"/>
      </c:valAx>
      <c:spPr>
        <a:solidFill>
          <a:srgbClr val="8C612B"/>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C612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Analysis.xlsx]Pivot Tables!PivotTable15</c:name>
    <c:fmtId val="6"/>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rgbClr val="142F4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9BFA0"/>
          </a:solidFill>
          <a:ln>
            <a:noFill/>
          </a:ln>
          <a:effectLst>
            <a:outerShdw blurRad="254000" sx="102000" sy="102000" algn="ctr" rotWithShape="0">
              <a:prstClr val="black">
                <a:alpha val="20000"/>
              </a:prstClr>
            </a:outerShdw>
          </a:effectLst>
        </c:spPr>
      </c:pivotFmt>
      <c:pivotFmt>
        <c:idx val="6"/>
        <c:spPr>
          <a:solidFill>
            <a:schemeClr val="bg1">
              <a:lumMod val="95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0015896501493021"/>
          <c:y val="3.9771594661601281E-2"/>
          <c:w val="0.76162476194885631"/>
          <c:h val="0.93750003663469583"/>
        </c:manualLayout>
      </c:layout>
      <c:doughnutChart>
        <c:varyColors val="1"/>
        <c:ser>
          <c:idx val="0"/>
          <c:order val="0"/>
          <c:tx>
            <c:strRef>
              <c:f>'Pivot Tables'!$AX$9</c:f>
              <c:strCache>
                <c:ptCount val="1"/>
                <c:pt idx="0">
                  <c:v>Total</c:v>
                </c:pt>
              </c:strCache>
            </c:strRef>
          </c:tx>
          <c:dPt>
            <c:idx val="0"/>
            <c:bubble3D val="0"/>
            <c:spPr>
              <a:solidFill>
                <a:srgbClr val="D9BFA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254-4BEA-8639-A5BDDCAF5DB0}"/>
              </c:ext>
            </c:extLst>
          </c:dPt>
          <c:dPt>
            <c:idx val="1"/>
            <c:bubble3D val="0"/>
            <c:spPr>
              <a:solidFill>
                <a:schemeClr val="bg1">
                  <a:lumMod val="9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254-4BEA-8639-A5BDDCAF5DB0}"/>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rgbClr val="142F40"/>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Tables'!$AW$10:$AW$12</c:f>
              <c:strCache>
                <c:ptCount val="2"/>
                <c:pt idx="0">
                  <c:v>Late</c:v>
                </c:pt>
                <c:pt idx="1">
                  <c:v>On-time</c:v>
                </c:pt>
              </c:strCache>
            </c:strRef>
          </c:cat>
          <c:val>
            <c:numRef>
              <c:f>'Pivot Tables'!$AX$10:$AX$12</c:f>
              <c:numCache>
                <c:formatCode>0.00%</c:formatCode>
                <c:ptCount val="2"/>
                <c:pt idx="0">
                  <c:v>0.44444444444444442</c:v>
                </c:pt>
                <c:pt idx="1">
                  <c:v>0.55555555555555558</c:v>
                </c:pt>
              </c:numCache>
            </c:numRef>
          </c:val>
          <c:extLst>
            <c:ext xmlns:c16="http://schemas.microsoft.com/office/drawing/2014/chart" uri="{C3380CC4-5D6E-409C-BE32-E72D297353CC}">
              <c16:uniqueId val="{00000004-B254-4BEA-8639-A5BDDCAF5DB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r"/>
      <c:layout>
        <c:manualLayout>
          <c:xMode val="edge"/>
          <c:yMode val="edge"/>
          <c:x val="0.74424652370581346"/>
          <c:y val="7.444170188970553E-2"/>
          <c:w val="0.24511517842184621"/>
          <c:h val="0.251242502343155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C612B"/>
    </a:solidFill>
    <a:ln w="9525" cap="flat" cmpd="sng" algn="ctr">
      <a:noFill/>
      <a:round/>
    </a:ln>
    <a:effectLst/>
  </c:spPr>
  <c:txPr>
    <a:bodyPr/>
    <a:lstStyle/>
    <a:p>
      <a:pPr>
        <a:defRPr>
          <a:solidFill>
            <a:srgbClr val="D9BF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Analysis.xlsx]Pivot Tables!PivotTable18</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42F4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9BFA0"/>
          </a:solidFill>
          <a:ln>
            <a:noFill/>
          </a:ln>
          <a:effectLst>
            <a:outerShdw blurRad="57150" dist="19050" dir="5400000" algn="ctr" rotWithShape="0">
              <a:srgbClr val="000000">
                <a:alpha val="63000"/>
              </a:srgbClr>
            </a:outerShdw>
          </a:effectLst>
        </c:spPr>
      </c:pivotFmt>
      <c:pivotFmt>
        <c:idx val="6"/>
        <c:spPr>
          <a:solidFill>
            <a:schemeClr val="bg1"/>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8.0089210923102699E-2"/>
          <c:y val="0.24957013666516745"/>
          <c:w val="0.58401574803149603"/>
          <c:h val="0.73523424058532072"/>
        </c:manualLayout>
      </c:layout>
      <c:pieChart>
        <c:varyColors val="1"/>
        <c:ser>
          <c:idx val="0"/>
          <c:order val="0"/>
          <c:tx>
            <c:strRef>
              <c:f>'Pivot Tables'!$BV$8</c:f>
              <c:strCache>
                <c:ptCount val="1"/>
                <c:pt idx="0">
                  <c:v>Total</c:v>
                </c:pt>
              </c:strCache>
            </c:strRef>
          </c:tx>
          <c:dPt>
            <c:idx val="0"/>
            <c:bubble3D val="0"/>
            <c:spPr>
              <a:solidFill>
                <a:srgbClr val="D9BF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418-4CB7-988B-AEBE3D8723EF}"/>
              </c:ext>
            </c:extLst>
          </c:dPt>
          <c:dPt>
            <c:idx val="1"/>
            <c:bubble3D val="0"/>
            <c:spPr>
              <a:solidFill>
                <a:schemeClr val="bg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418-4CB7-988B-AEBE3D8723EF}"/>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42F4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Tables'!$BU$9:$BU$11</c:f>
              <c:strCache>
                <c:ptCount val="2"/>
                <c:pt idx="0">
                  <c:v>افراد</c:v>
                </c:pt>
                <c:pt idx="1">
                  <c:v>شركات</c:v>
                </c:pt>
              </c:strCache>
            </c:strRef>
          </c:cat>
          <c:val>
            <c:numRef>
              <c:f>'Pivot Tables'!$BV$9:$BV$11</c:f>
              <c:numCache>
                <c:formatCode>General</c:formatCode>
                <c:ptCount val="2"/>
                <c:pt idx="0">
                  <c:v>91</c:v>
                </c:pt>
                <c:pt idx="1">
                  <c:v>35</c:v>
                </c:pt>
              </c:numCache>
            </c:numRef>
          </c:val>
          <c:extLst>
            <c:ext xmlns:c16="http://schemas.microsoft.com/office/drawing/2014/chart" uri="{C3380CC4-5D6E-409C-BE32-E72D297353CC}">
              <c16:uniqueId val="{00000004-C418-4CB7-988B-AEBE3D8723E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9632182945216969"/>
          <c:y val="0.2463716687239294"/>
          <c:w val="0.23984838331378791"/>
          <c:h val="0.279577523829007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C612B"/>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Analysis.xlsx]Pivot Tables!PivotTable17</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9BF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92922105464176"/>
          <c:y val="0.15044627703633637"/>
          <c:w val="0.81351937353000348"/>
          <c:h val="0.61516597315405219"/>
        </c:manualLayout>
      </c:layout>
      <c:barChart>
        <c:barDir val="col"/>
        <c:grouping val="stacked"/>
        <c:varyColors val="0"/>
        <c:ser>
          <c:idx val="0"/>
          <c:order val="0"/>
          <c:tx>
            <c:strRef>
              <c:f>'Pivot Tables'!$BO$10</c:f>
              <c:strCache>
                <c:ptCount val="1"/>
                <c:pt idx="0">
                  <c:v>Total</c:v>
                </c:pt>
              </c:strCache>
            </c:strRef>
          </c:tx>
          <c:spPr>
            <a:solidFill>
              <a:srgbClr val="D9BFA0"/>
            </a:solidFill>
            <a:ln>
              <a:noFill/>
            </a:ln>
            <a:effectLst/>
          </c:spPr>
          <c:invertIfNegative val="0"/>
          <c:cat>
            <c:strRef>
              <c:f>'Pivot Tables'!$BN$11:$BN$21</c:f>
              <c:strCache>
                <c:ptCount val="10"/>
                <c:pt idx="0">
                  <c:v>القاهرة</c:v>
                </c:pt>
                <c:pt idx="1">
                  <c:v>الجيزة</c:v>
                </c:pt>
                <c:pt idx="2">
                  <c:v>الأقصر</c:v>
                </c:pt>
                <c:pt idx="3">
                  <c:v>السويس</c:v>
                </c:pt>
                <c:pt idx="4">
                  <c:v>الاسماعيلية</c:v>
                </c:pt>
                <c:pt idx="5">
                  <c:v>الإسكندرية</c:v>
                </c:pt>
                <c:pt idx="6">
                  <c:v>القليوبية</c:v>
                </c:pt>
                <c:pt idx="7">
                  <c:v>البحر الأحمر</c:v>
                </c:pt>
                <c:pt idx="8">
                  <c:v>مطروح</c:v>
                </c:pt>
                <c:pt idx="9">
                  <c:v>أسيوط</c:v>
                </c:pt>
              </c:strCache>
            </c:strRef>
          </c:cat>
          <c:val>
            <c:numRef>
              <c:f>'Pivot Tables'!$BO$11:$BO$21</c:f>
              <c:numCache>
                <c:formatCode>General</c:formatCode>
                <c:ptCount val="10"/>
                <c:pt idx="0">
                  <c:v>649550.90999999992</c:v>
                </c:pt>
                <c:pt idx="1">
                  <c:v>245908</c:v>
                </c:pt>
                <c:pt idx="2">
                  <c:v>89718</c:v>
                </c:pt>
                <c:pt idx="3">
                  <c:v>72520.905440000002</c:v>
                </c:pt>
                <c:pt idx="4">
                  <c:v>58966</c:v>
                </c:pt>
                <c:pt idx="5">
                  <c:v>54762</c:v>
                </c:pt>
                <c:pt idx="6">
                  <c:v>42533</c:v>
                </c:pt>
                <c:pt idx="7">
                  <c:v>41640</c:v>
                </c:pt>
                <c:pt idx="8">
                  <c:v>24288</c:v>
                </c:pt>
                <c:pt idx="9">
                  <c:v>12999</c:v>
                </c:pt>
              </c:numCache>
            </c:numRef>
          </c:val>
          <c:extLst>
            <c:ext xmlns:c16="http://schemas.microsoft.com/office/drawing/2014/chart" uri="{C3380CC4-5D6E-409C-BE32-E72D297353CC}">
              <c16:uniqueId val="{00000000-5BD1-42B8-9704-5487B746EFAF}"/>
            </c:ext>
          </c:extLst>
        </c:ser>
        <c:dLbls>
          <c:showLegendKey val="0"/>
          <c:showVal val="0"/>
          <c:showCatName val="0"/>
          <c:showSerName val="0"/>
          <c:showPercent val="0"/>
          <c:showBubbleSize val="0"/>
        </c:dLbls>
        <c:gapWidth val="150"/>
        <c:overlap val="100"/>
        <c:axId val="10818975"/>
        <c:axId val="10819455"/>
      </c:barChart>
      <c:catAx>
        <c:axId val="1081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819455"/>
        <c:crosses val="autoZero"/>
        <c:auto val="1"/>
        <c:lblAlgn val="ctr"/>
        <c:lblOffset val="100"/>
        <c:noMultiLvlLbl val="0"/>
      </c:catAx>
      <c:valAx>
        <c:axId val="1081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818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C612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Analysis.xlsx]Pivot Tables!PivotTable16</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no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42F4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9BFA0"/>
          </a:solidFill>
          <a:ln w="19050">
            <a:noFill/>
          </a:ln>
          <a:effectLst/>
        </c:spPr>
      </c:pivotFmt>
      <c:pivotFmt>
        <c:idx val="7"/>
        <c:spPr>
          <a:solidFill>
            <a:schemeClr val="accent1"/>
          </a:solidFill>
          <a:ln w="19050">
            <a:no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0215049439061283"/>
          <c:y val="0.22222222222222221"/>
          <c:w val="0.55913954824335443"/>
          <c:h val="0.72222222222222221"/>
        </c:manualLayout>
      </c:layout>
      <c:pieChart>
        <c:varyColors val="1"/>
        <c:ser>
          <c:idx val="0"/>
          <c:order val="0"/>
          <c:tx>
            <c:strRef>
              <c:f>'Pivot Tables'!$BG$10</c:f>
              <c:strCache>
                <c:ptCount val="1"/>
                <c:pt idx="0">
                  <c:v>Total</c:v>
                </c:pt>
              </c:strCache>
            </c:strRef>
          </c:tx>
          <c:dPt>
            <c:idx val="0"/>
            <c:bubble3D val="0"/>
            <c:spPr>
              <a:solidFill>
                <a:srgbClr val="D9BFA0"/>
              </a:solidFill>
              <a:ln w="19050">
                <a:noFill/>
              </a:ln>
              <a:effectLst/>
            </c:spPr>
            <c:extLst>
              <c:ext xmlns:c16="http://schemas.microsoft.com/office/drawing/2014/chart" uri="{C3380CC4-5D6E-409C-BE32-E72D297353CC}">
                <c16:uniqueId val="{00000001-CD35-402F-B49C-5669E390C7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35-402F-B49C-5669E390C782}"/>
              </c:ext>
            </c:extLst>
          </c:dPt>
          <c:dPt>
            <c:idx val="2"/>
            <c:bubble3D val="0"/>
            <c:spPr>
              <a:solidFill>
                <a:schemeClr val="accent3"/>
              </a:solidFill>
              <a:ln w="19050">
                <a:noFill/>
              </a:ln>
              <a:effectLst/>
            </c:spPr>
            <c:extLst>
              <c:ext xmlns:c16="http://schemas.microsoft.com/office/drawing/2014/chart" uri="{C3380CC4-5D6E-409C-BE32-E72D297353CC}">
                <c16:uniqueId val="{00000005-DE4E-43C4-99C2-0FCBCF2435E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42F4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Tables'!$BF$11:$BF$14</c:f>
              <c:strCache>
                <c:ptCount val="3"/>
                <c:pt idx="0">
                  <c:v>تم التسليم</c:v>
                </c:pt>
                <c:pt idx="1">
                  <c:v>مرتجع</c:v>
                </c:pt>
                <c:pt idx="2">
                  <c:v>مرفوض </c:v>
                </c:pt>
              </c:strCache>
            </c:strRef>
          </c:cat>
          <c:val>
            <c:numRef>
              <c:f>'Pivot Tables'!$BG$11:$BG$14</c:f>
              <c:numCache>
                <c:formatCode>0.00%</c:formatCode>
                <c:ptCount val="3"/>
                <c:pt idx="0">
                  <c:v>0.80952380952380953</c:v>
                </c:pt>
                <c:pt idx="1">
                  <c:v>7.9365079365079361E-3</c:v>
                </c:pt>
                <c:pt idx="2">
                  <c:v>0.18253968253968253</c:v>
                </c:pt>
              </c:numCache>
            </c:numRef>
          </c:val>
          <c:extLst>
            <c:ext xmlns:c16="http://schemas.microsoft.com/office/drawing/2014/chart" uri="{C3380CC4-5D6E-409C-BE32-E72D297353CC}">
              <c16:uniqueId val="{00000004-CD35-402F-B49C-5669E390C78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r"/>
      <c:layout>
        <c:manualLayout>
          <c:xMode val="edge"/>
          <c:yMode val="edge"/>
          <c:x val="0.71296346077238981"/>
          <c:y val="0.28167924321959759"/>
          <c:w val="0.22861009710858643"/>
          <c:h val="0.35156496062992126"/>
        </c:manualLayout>
      </c:layout>
      <c:overlay val="1"/>
      <c:spPr>
        <a:noFill/>
        <a:ln>
          <a:noFill/>
        </a:ln>
        <a:effectLst/>
      </c:spPr>
      <c:txPr>
        <a:bodyPr rot="0" spcFirstLastPara="1" vertOverflow="ellipsis" vert="horz" wrap="square" anchor="ctr" anchorCtr="1"/>
        <a:lstStyle/>
        <a:p>
          <a:pPr>
            <a:defRPr sz="900" b="0" i="0" u="none" strike="noStrike" kern="1200" baseline="0">
              <a:solidFill>
                <a:srgbClr val="F2EEEB"/>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C612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118533</xdr:colOff>
      <xdr:row>25</xdr:row>
      <xdr:rowOff>76200</xdr:rowOff>
    </xdr:from>
    <xdr:to>
      <xdr:col>1</xdr:col>
      <xdr:colOff>2017569</xdr:colOff>
      <xdr:row>55</xdr:row>
      <xdr:rowOff>76200</xdr:rowOff>
    </xdr:to>
    <xdr:sp macro="" textlink="">
      <xdr:nvSpPr>
        <xdr:cNvPr id="2" name="Rectangle: Rounded Corners 1">
          <a:extLst>
            <a:ext uri="{FF2B5EF4-FFF2-40B4-BE49-F238E27FC236}">
              <a16:creationId xmlns:a16="http://schemas.microsoft.com/office/drawing/2014/main" id="{118036A4-72D8-5085-4CBD-43332B30C1D1}"/>
            </a:ext>
          </a:extLst>
        </xdr:cNvPr>
        <xdr:cNvSpPr/>
      </xdr:nvSpPr>
      <xdr:spPr>
        <a:xfrm>
          <a:off x="9987319831" y="5020733"/>
          <a:ext cx="2508636" cy="5588000"/>
        </a:xfrm>
        <a:prstGeom prst="roundRect">
          <a:avLst/>
        </a:prstGeom>
        <a:solidFill>
          <a:srgbClr val="8C612B"/>
        </a:solidFill>
        <a:ln>
          <a:solidFill>
            <a:srgbClr val="D9BFA0"/>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1</xdr:col>
      <xdr:colOff>2094450</xdr:colOff>
      <xdr:row>25</xdr:row>
      <xdr:rowOff>77285</xdr:rowOff>
    </xdr:from>
    <xdr:to>
      <xdr:col>22</xdr:col>
      <xdr:colOff>1</xdr:colOff>
      <xdr:row>31</xdr:row>
      <xdr:rowOff>51885</xdr:rowOff>
    </xdr:to>
    <xdr:sp macro="" textlink="">
      <xdr:nvSpPr>
        <xdr:cNvPr id="3" name="Rectangle: Rounded Corners 2">
          <a:extLst>
            <a:ext uri="{FF2B5EF4-FFF2-40B4-BE49-F238E27FC236}">
              <a16:creationId xmlns:a16="http://schemas.microsoft.com/office/drawing/2014/main" id="{6688475B-A57E-49F6-931E-0BEF935B93C2}"/>
            </a:ext>
          </a:extLst>
        </xdr:cNvPr>
        <xdr:cNvSpPr/>
      </xdr:nvSpPr>
      <xdr:spPr>
        <a:xfrm>
          <a:off x="9974275199" y="5021818"/>
          <a:ext cx="12967751" cy="1092200"/>
        </a:xfrm>
        <a:prstGeom prst="roundRect">
          <a:avLst/>
        </a:prstGeom>
        <a:solidFill>
          <a:srgbClr val="8C612B"/>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18</xdr:col>
      <xdr:colOff>304801</xdr:colOff>
      <xdr:row>31</xdr:row>
      <xdr:rowOff>161655</xdr:rowOff>
    </xdr:from>
    <xdr:to>
      <xdr:col>21</xdr:col>
      <xdr:colOff>590190</xdr:colOff>
      <xdr:row>39</xdr:row>
      <xdr:rowOff>50800</xdr:rowOff>
    </xdr:to>
    <xdr:sp macro="" textlink="">
      <xdr:nvSpPr>
        <xdr:cNvPr id="4" name="Rectangle: Rounded Corners 3">
          <a:extLst>
            <a:ext uri="{FF2B5EF4-FFF2-40B4-BE49-F238E27FC236}">
              <a16:creationId xmlns:a16="http://schemas.microsoft.com/office/drawing/2014/main" id="{952C1E56-639A-4608-A4B7-19BD2099FC9E}"/>
            </a:ext>
          </a:extLst>
        </xdr:cNvPr>
        <xdr:cNvSpPr/>
      </xdr:nvSpPr>
      <xdr:spPr>
        <a:xfrm>
          <a:off x="9974294610" y="6223788"/>
          <a:ext cx="2114189" cy="1379279"/>
        </a:xfrm>
        <a:prstGeom prst="roundRect">
          <a:avLst/>
        </a:prstGeom>
        <a:solidFill>
          <a:srgbClr val="8C612B"/>
        </a:solidFill>
        <a:ln>
          <a:solidFill>
            <a:srgbClr val="F2EEE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rtl="1"/>
          <a:r>
            <a:rPr lang="en-US" sz="1800" b="1">
              <a:solidFill>
                <a:srgbClr val="142F40"/>
              </a:solidFill>
            </a:rPr>
            <a:t>Total Sales</a:t>
          </a:r>
        </a:p>
      </xdr:txBody>
    </xdr:sp>
    <xdr:clientData/>
  </xdr:twoCellAnchor>
  <xdr:twoCellAnchor>
    <xdr:from>
      <xdr:col>18</xdr:col>
      <xdr:colOff>313267</xdr:colOff>
      <xdr:row>39</xdr:row>
      <xdr:rowOff>127000</xdr:rowOff>
    </xdr:from>
    <xdr:to>
      <xdr:col>22</xdr:col>
      <xdr:colOff>6181</xdr:colOff>
      <xdr:row>47</xdr:row>
      <xdr:rowOff>76200</xdr:rowOff>
    </xdr:to>
    <xdr:sp macro="" textlink="">
      <xdr:nvSpPr>
        <xdr:cNvPr id="7" name="Rectangle: Rounded Corners 6">
          <a:extLst>
            <a:ext uri="{FF2B5EF4-FFF2-40B4-BE49-F238E27FC236}">
              <a16:creationId xmlns:a16="http://schemas.microsoft.com/office/drawing/2014/main" id="{81298738-76E8-4C70-A921-467C290A491E}"/>
            </a:ext>
          </a:extLst>
        </xdr:cNvPr>
        <xdr:cNvSpPr/>
      </xdr:nvSpPr>
      <xdr:spPr>
        <a:xfrm>
          <a:off x="9974269019" y="7679267"/>
          <a:ext cx="2131314" cy="1439333"/>
        </a:xfrm>
        <a:prstGeom prst="roundRect">
          <a:avLst/>
        </a:prstGeom>
        <a:solidFill>
          <a:srgbClr val="8C612B"/>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rtl="1"/>
          <a:r>
            <a:rPr lang="en-US" sz="1800" b="1">
              <a:solidFill>
                <a:srgbClr val="142F40"/>
              </a:solidFill>
              <a:latin typeface="+mn-lt"/>
              <a:ea typeface="+mn-ea"/>
              <a:cs typeface="+mn-cs"/>
            </a:rPr>
            <a:t>Total Orders</a:t>
          </a:r>
        </a:p>
      </xdr:txBody>
    </xdr:sp>
    <xdr:clientData/>
  </xdr:twoCellAnchor>
  <xdr:twoCellAnchor>
    <xdr:from>
      <xdr:col>18</xdr:col>
      <xdr:colOff>351160</xdr:colOff>
      <xdr:row>47</xdr:row>
      <xdr:rowOff>145923</xdr:rowOff>
    </xdr:from>
    <xdr:to>
      <xdr:col>22</xdr:col>
      <xdr:colOff>23500</xdr:colOff>
      <xdr:row>55</xdr:row>
      <xdr:rowOff>101407</xdr:rowOff>
    </xdr:to>
    <xdr:sp macro="" textlink="">
      <xdr:nvSpPr>
        <xdr:cNvPr id="8" name="Rectangle: Rounded Corners 7">
          <a:extLst>
            <a:ext uri="{FF2B5EF4-FFF2-40B4-BE49-F238E27FC236}">
              <a16:creationId xmlns:a16="http://schemas.microsoft.com/office/drawing/2014/main" id="{60D4F2DD-3EC2-41D9-875F-AB56318DF0A7}"/>
            </a:ext>
          </a:extLst>
        </xdr:cNvPr>
        <xdr:cNvSpPr/>
      </xdr:nvSpPr>
      <xdr:spPr>
        <a:xfrm>
          <a:off x="9974251700" y="9188323"/>
          <a:ext cx="2110740" cy="1445617"/>
        </a:xfrm>
        <a:prstGeom prst="roundRect">
          <a:avLst/>
        </a:prstGeom>
        <a:solidFill>
          <a:srgbClr val="8C612B"/>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rtl="1"/>
          <a:r>
            <a:rPr lang="en-US" sz="1600" b="1">
              <a:solidFill>
                <a:srgbClr val="142F40"/>
              </a:solidFill>
              <a:latin typeface="+mn-lt"/>
              <a:ea typeface="+mn-ea"/>
              <a:cs typeface="+mn-cs"/>
            </a:rPr>
            <a:t>Average Selling Price</a:t>
          </a:r>
        </a:p>
      </xdr:txBody>
    </xdr:sp>
    <xdr:clientData/>
  </xdr:twoCellAnchor>
  <xdr:twoCellAnchor>
    <xdr:from>
      <xdr:col>18</xdr:col>
      <xdr:colOff>397933</xdr:colOff>
      <xdr:row>33</xdr:row>
      <xdr:rowOff>171395</xdr:rowOff>
    </xdr:from>
    <xdr:to>
      <xdr:col>20</xdr:col>
      <xdr:colOff>289923</xdr:colOff>
      <xdr:row>37</xdr:row>
      <xdr:rowOff>84667</xdr:rowOff>
    </xdr:to>
    <xdr:sp macro="" textlink="'Pivot Tables'!B13">
      <xdr:nvSpPr>
        <xdr:cNvPr id="15" name="TextBox 14">
          <a:extLst>
            <a:ext uri="{FF2B5EF4-FFF2-40B4-BE49-F238E27FC236}">
              <a16:creationId xmlns:a16="http://schemas.microsoft.com/office/drawing/2014/main" id="{38131BC2-3167-A400-7988-6AF1C311E43F}"/>
            </a:ext>
          </a:extLst>
        </xdr:cNvPr>
        <xdr:cNvSpPr txBox="1"/>
      </xdr:nvSpPr>
      <xdr:spPr>
        <a:xfrm>
          <a:off x="9975204477" y="6606062"/>
          <a:ext cx="1111190" cy="658338"/>
        </a:xfrm>
        <a:prstGeom prst="rect">
          <a:avLst/>
        </a:prstGeom>
        <a:solidFill>
          <a:srgbClr val="8C612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rtl="1"/>
          <a:fld id="{8B8EB84E-DC57-4111-A5AD-13F5A7CD7E12}" type="TxLink">
            <a:rPr lang="en-US" sz="1800" b="0" i="0" u="none" strike="noStrike">
              <a:solidFill>
                <a:schemeClr val="bg1"/>
              </a:solidFill>
              <a:latin typeface="Calibri"/>
              <a:ea typeface="Calibri"/>
              <a:cs typeface="Calibri"/>
            </a:rPr>
            <a:pPr algn="r" rtl="1"/>
            <a:t> 1,292,886 </a:t>
          </a:fld>
          <a:endParaRPr lang="en-US" sz="1800">
            <a:solidFill>
              <a:schemeClr val="bg1"/>
            </a:solidFill>
          </a:endParaRPr>
        </a:p>
      </xdr:txBody>
    </xdr:sp>
    <xdr:clientData/>
  </xdr:twoCellAnchor>
  <xdr:twoCellAnchor>
    <xdr:from>
      <xdr:col>19</xdr:col>
      <xdr:colOff>28430</xdr:colOff>
      <xdr:row>42</xdr:row>
      <xdr:rowOff>147187</xdr:rowOff>
    </xdr:from>
    <xdr:to>
      <xdr:col>21</xdr:col>
      <xdr:colOff>28430</xdr:colOff>
      <xdr:row>45</xdr:row>
      <xdr:rowOff>38902</xdr:rowOff>
    </xdr:to>
    <xdr:sp macro="" textlink="'Pivot Tables'!J13">
      <xdr:nvSpPr>
        <xdr:cNvPr id="16" name="TextBox 15">
          <a:extLst>
            <a:ext uri="{FF2B5EF4-FFF2-40B4-BE49-F238E27FC236}">
              <a16:creationId xmlns:a16="http://schemas.microsoft.com/office/drawing/2014/main" id="{BFC13406-A6A4-7607-CD05-0CCCF20DC686}"/>
            </a:ext>
          </a:extLst>
        </xdr:cNvPr>
        <xdr:cNvSpPr txBox="1"/>
      </xdr:nvSpPr>
      <xdr:spPr>
        <a:xfrm>
          <a:off x="9974856370" y="8258254"/>
          <a:ext cx="1219200" cy="450515"/>
        </a:xfrm>
        <a:prstGeom prst="rect">
          <a:avLst/>
        </a:prstGeom>
        <a:solidFill>
          <a:srgbClr val="8C612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rtl="1"/>
          <a:fld id="{FF6D28D1-2CB8-4FA1-BE40-64ACCBE894E3}" type="TxLink">
            <a:rPr lang="en-US" sz="2000" b="0" i="0" u="none" strike="noStrike">
              <a:solidFill>
                <a:schemeClr val="bg1"/>
              </a:solidFill>
              <a:latin typeface="Calibri"/>
              <a:ea typeface="Calibri"/>
              <a:cs typeface="Calibri"/>
            </a:rPr>
            <a:pPr marL="0" indent="0" algn="r" rtl="1"/>
            <a:t>126</a:t>
          </a:fld>
          <a:endParaRPr lang="en-US" sz="2000" b="0" i="0" u="none" strike="noStrike">
            <a:solidFill>
              <a:schemeClr val="bg1"/>
            </a:solidFill>
            <a:latin typeface="Calibri"/>
            <a:ea typeface="Calibri"/>
            <a:cs typeface="Calibri"/>
          </a:endParaRPr>
        </a:p>
      </xdr:txBody>
    </xdr:sp>
    <xdr:clientData/>
  </xdr:twoCellAnchor>
  <xdr:twoCellAnchor>
    <xdr:from>
      <xdr:col>18</xdr:col>
      <xdr:colOff>492381</xdr:colOff>
      <xdr:row>51</xdr:row>
      <xdr:rowOff>52700</xdr:rowOff>
    </xdr:from>
    <xdr:to>
      <xdr:col>20</xdr:col>
      <xdr:colOff>347601</xdr:colOff>
      <xdr:row>53</xdr:row>
      <xdr:rowOff>129093</xdr:rowOff>
    </xdr:to>
    <xdr:sp macro="" textlink="'Pivot Tables'!R13">
      <xdr:nvSpPr>
        <xdr:cNvPr id="17" name="TextBox 16">
          <a:extLst>
            <a:ext uri="{FF2B5EF4-FFF2-40B4-BE49-F238E27FC236}">
              <a16:creationId xmlns:a16="http://schemas.microsoft.com/office/drawing/2014/main" id="{4B2FC805-F342-20C0-DA39-78B0DBD3A7C2}"/>
            </a:ext>
          </a:extLst>
        </xdr:cNvPr>
        <xdr:cNvSpPr txBox="1"/>
      </xdr:nvSpPr>
      <xdr:spPr>
        <a:xfrm>
          <a:off x="9975146799" y="9840167"/>
          <a:ext cx="1074420" cy="448926"/>
        </a:xfrm>
        <a:prstGeom prst="rect">
          <a:avLst/>
        </a:prstGeom>
        <a:solidFill>
          <a:srgbClr val="8C612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rtl="1"/>
          <a:fld id="{954978CC-F7EA-467C-8022-1746EE9511C4}" type="TxLink">
            <a:rPr lang="en-US" sz="2000" b="0" i="0" u="none" strike="noStrike">
              <a:solidFill>
                <a:schemeClr val="bg1"/>
              </a:solidFill>
              <a:latin typeface="Calibri"/>
              <a:ea typeface="Calibri"/>
              <a:cs typeface="Calibri"/>
            </a:rPr>
            <a:pPr marL="0" indent="0" algn="r" rtl="1"/>
            <a:t> 10,261 </a:t>
          </a:fld>
          <a:endParaRPr lang="en-US" sz="2000" b="0" i="0" u="none" strike="noStrike">
            <a:solidFill>
              <a:schemeClr val="bg1"/>
            </a:solidFill>
            <a:latin typeface="Calibri"/>
            <a:ea typeface="Calibri"/>
            <a:cs typeface="Calibri"/>
          </a:endParaRPr>
        </a:p>
      </xdr:txBody>
    </xdr:sp>
    <xdr:clientData/>
  </xdr:twoCellAnchor>
  <xdr:twoCellAnchor>
    <xdr:from>
      <xdr:col>7</xdr:col>
      <xdr:colOff>507152</xdr:colOff>
      <xdr:row>26</xdr:row>
      <xdr:rowOff>99907</xdr:rowOff>
    </xdr:from>
    <xdr:to>
      <xdr:col>16</xdr:col>
      <xdr:colOff>245532</xdr:colOff>
      <xdr:row>29</xdr:row>
      <xdr:rowOff>31327</xdr:rowOff>
    </xdr:to>
    <xdr:sp macro="" textlink="">
      <xdr:nvSpPr>
        <xdr:cNvPr id="18" name="TextBox 17">
          <a:extLst>
            <a:ext uri="{FF2B5EF4-FFF2-40B4-BE49-F238E27FC236}">
              <a16:creationId xmlns:a16="http://schemas.microsoft.com/office/drawing/2014/main" id="{4674A65E-D216-7EA2-4847-C6D52EFC48FC}"/>
            </a:ext>
          </a:extLst>
        </xdr:cNvPr>
        <xdr:cNvSpPr txBox="1"/>
      </xdr:nvSpPr>
      <xdr:spPr>
        <a:xfrm>
          <a:off x="9977687268" y="5230707"/>
          <a:ext cx="5224780" cy="490220"/>
        </a:xfrm>
        <a:prstGeom prst="rect">
          <a:avLst/>
        </a:prstGeom>
        <a:solidFill>
          <a:srgbClr val="8C612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rtl="1"/>
          <a:r>
            <a:rPr lang="en-US" sz="3200" b="1">
              <a:solidFill>
                <a:srgbClr val="142F40"/>
              </a:solidFill>
            </a:rPr>
            <a:t>Sales Dashboard Last</a:t>
          </a:r>
          <a:r>
            <a:rPr lang="en-US" sz="3200" b="1" baseline="0">
              <a:solidFill>
                <a:srgbClr val="142F40"/>
              </a:solidFill>
            </a:rPr>
            <a:t> Mounth</a:t>
          </a:r>
          <a:r>
            <a:rPr lang="ar-EG" sz="3200" b="1">
              <a:solidFill>
                <a:srgbClr val="142F40"/>
              </a:solidFill>
            </a:rPr>
            <a:t> </a:t>
          </a:r>
          <a:endParaRPr lang="en-US" sz="3200" b="1">
            <a:solidFill>
              <a:srgbClr val="142F40"/>
            </a:solidFill>
          </a:endParaRPr>
        </a:p>
      </xdr:txBody>
    </xdr:sp>
    <xdr:clientData/>
  </xdr:twoCellAnchor>
  <xdr:twoCellAnchor>
    <xdr:from>
      <xdr:col>1</xdr:col>
      <xdr:colOff>2177626</xdr:colOff>
      <xdr:row>29</xdr:row>
      <xdr:rowOff>23707</xdr:rowOff>
    </xdr:from>
    <xdr:to>
      <xdr:col>6</xdr:col>
      <xdr:colOff>516466</xdr:colOff>
      <xdr:row>31</xdr:row>
      <xdr:rowOff>23707</xdr:rowOff>
    </xdr:to>
    <xdr:sp macro="" textlink="">
      <xdr:nvSpPr>
        <xdr:cNvPr id="19" name="TextBox 18">
          <a:extLst>
            <a:ext uri="{FF2B5EF4-FFF2-40B4-BE49-F238E27FC236}">
              <a16:creationId xmlns:a16="http://schemas.microsoft.com/office/drawing/2014/main" id="{8541A675-FAFB-C8F4-75E8-87BF822BB376}"/>
            </a:ext>
          </a:extLst>
        </xdr:cNvPr>
        <xdr:cNvSpPr txBox="1"/>
      </xdr:nvSpPr>
      <xdr:spPr>
        <a:xfrm>
          <a:off x="9983512334" y="5713307"/>
          <a:ext cx="3647440" cy="372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rtl="1"/>
          <a:r>
            <a:rPr lang="en-US" sz="1600" b="1" i="1">
              <a:solidFill>
                <a:srgbClr val="142F40"/>
              </a:solidFill>
            </a:rPr>
            <a:t>LUXORA</a:t>
          </a:r>
          <a:r>
            <a:rPr lang="en-US" sz="1600" b="1" i="1" baseline="0">
              <a:solidFill>
                <a:srgbClr val="142F40"/>
              </a:solidFill>
            </a:rPr>
            <a:t> FURNITURE</a:t>
          </a:r>
          <a:endParaRPr lang="en-US" sz="1600" b="1" i="1">
            <a:solidFill>
              <a:srgbClr val="142F40"/>
            </a:solidFill>
          </a:endParaRPr>
        </a:p>
      </xdr:txBody>
    </xdr:sp>
    <xdr:clientData/>
  </xdr:twoCellAnchor>
  <xdr:twoCellAnchor>
    <xdr:from>
      <xdr:col>11</xdr:col>
      <xdr:colOff>600364</xdr:colOff>
      <xdr:row>31</xdr:row>
      <xdr:rowOff>122947</xdr:rowOff>
    </xdr:from>
    <xdr:to>
      <xdr:col>18</xdr:col>
      <xdr:colOff>223432</xdr:colOff>
      <xdr:row>43</xdr:row>
      <xdr:rowOff>101601</xdr:rowOff>
    </xdr:to>
    <xdr:sp macro="" textlink="">
      <xdr:nvSpPr>
        <xdr:cNvPr id="20" name="Rectangle: Rounded Corners 19">
          <a:extLst>
            <a:ext uri="{FF2B5EF4-FFF2-40B4-BE49-F238E27FC236}">
              <a16:creationId xmlns:a16="http://schemas.microsoft.com/office/drawing/2014/main" id="{B58592D5-3432-45FC-9DEE-5E5AD839B704}"/>
            </a:ext>
          </a:extLst>
        </xdr:cNvPr>
        <xdr:cNvSpPr/>
      </xdr:nvSpPr>
      <xdr:spPr>
        <a:xfrm>
          <a:off x="9976490168" y="6185080"/>
          <a:ext cx="3890268" cy="2213854"/>
        </a:xfrm>
        <a:prstGeom prst="roundRect">
          <a:avLst/>
        </a:prstGeom>
        <a:solidFill>
          <a:srgbClr val="8C612B"/>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12</xdr:col>
      <xdr:colOff>166063</xdr:colOff>
      <xdr:row>33</xdr:row>
      <xdr:rowOff>33674</xdr:rowOff>
    </xdr:from>
    <xdr:to>
      <xdr:col>18</xdr:col>
      <xdr:colOff>42334</xdr:colOff>
      <xdr:row>42</xdr:row>
      <xdr:rowOff>135466</xdr:rowOff>
    </xdr:to>
    <xdr:graphicFrame macro="">
      <xdr:nvGraphicFramePr>
        <xdr:cNvPr id="21" name="Chart 20">
          <a:extLst>
            <a:ext uri="{FF2B5EF4-FFF2-40B4-BE49-F238E27FC236}">
              <a16:creationId xmlns:a16="http://schemas.microsoft.com/office/drawing/2014/main" id="{D5FE9AA8-2742-4CF7-95A9-08A5944A0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2112472</xdr:colOff>
      <xdr:row>31</xdr:row>
      <xdr:rowOff>126808</xdr:rowOff>
    </xdr:from>
    <xdr:to>
      <xdr:col>5</xdr:col>
      <xdr:colOff>46182</xdr:colOff>
      <xdr:row>55</xdr:row>
      <xdr:rowOff>126808</xdr:rowOff>
    </xdr:to>
    <xdr:sp macro="" textlink="">
      <xdr:nvSpPr>
        <xdr:cNvPr id="22" name="Rectangle: Rounded Corners 21">
          <a:extLst>
            <a:ext uri="{FF2B5EF4-FFF2-40B4-BE49-F238E27FC236}">
              <a16:creationId xmlns:a16="http://schemas.microsoft.com/office/drawing/2014/main" id="{B6CD8815-7BAB-4600-A5F0-6F20C77C331E}"/>
            </a:ext>
          </a:extLst>
        </xdr:cNvPr>
        <xdr:cNvSpPr/>
      </xdr:nvSpPr>
      <xdr:spPr>
        <a:xfrm>
          <a:off x="9984592218" y="6188941"/>
          <a:ext cx="2632710" cy="4470400"/>
        </a:xfrm>
        <a:prstGeom prst="roundRect">
          <a:avLst/>
        </a:prstGeom>
        <a:solidFill>
          <a:srgbClr val="8C612B"/>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1</xdr:col>
      <xdr:colOff>2294466</xdr:colOff>
      <xdr:row>34</xdr:row>
      <xdr:rowOff>25401</xdr:rowOff>
    </xdr:from>
    <xdr:to>
      <xdr:col>4</xdr:col>
      <xdr:colOff>421794</xdr:colOff>
      <xdr:row>55</xdr:row>
      <xdr:rowOff>40869</xdr:rowOff>
    </xdr:to>
    <xdr:graphicFrame macro="">
      <xdr:nvGraphicFramePr>
        <xdr:cNvPr id="23" name="Chart 22">
          <a:extLst>
            <a:ext uri="{FF2B5EF4-FFF2-40B4-BE49-F238E27FC236}">
              <a16:creationId xmlns:a16="http://schemas.microsoft.com/office/drawing/2014/main" id="{08CBEA5E-9435-4C48-9335-A51F00BF7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116068</xdr:colOff>
      <xdr:row>44</xdr:row>
      <xdr:rowOff>8275</xdr:rowOff>
    </xdr:from>
    <xdr:to>
      <xdr:col>18</xdr:col>
      <xdr:colOff>273993</xdr:colOff>
      <xdr:row>55</xdr:row>
      <xdr:rowOff>84476</xdr:rowOff>
    </xdr:to>
    <xdr:sp macro="" textlink="">
      <xdr:nvSpPr>
        <xdr:cNvPr id="25" name="Rectangle: Rounded Corners 24">
          <a:extLst>
            <a:ext uri="{FF2B5EF4-FFF2-40B4-BE49-F238E27FC236}">
              <a16:creationId xmlns:a16="http://schemas.microsoft.com/office/drawing/2014/main" id="{DB5F9886-8071-4505-8EA5-EE73B6EC4FB3}"/>
            </a:ext>
          </a:extLst>
        </xdr:cNvPr>
        <xdr:cNvSpPr/>
      </xdr:nvSpPr>
      <xdr:spPr>
        <a:xfrm>
          <a:off x="9976439607" y="8491875"/>
          <a:ext cx="2596325" cy="2125134"/>
        </a:xfrm>
        <a:prstGeom prst="roundRect">
          <a:avLst/>
        </a:prstGeom>
        <a:solidFill>
          <a:srgbClr val="8C612B"/>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14</xdr:col>
      <xdr:colOff>319617</xdr:colOff>
      <xdr:row>45</xdr:row>
      <xdr:rowOff>142970</xdr:rowOff>
    </xdr:from>
    <xdr:to>
      <xdr:col>18</xdr:col>
      <xdr:colOff>166641</xdr:colOff>
      <xdr:row>54</xdr:row>
      <xdr:rowOff>146819</xdr:rowOff>
    </xdr:to>
    <xdr:graphicFrame macro="">
      <xdr:nvGraphicFramePr>
        <xdr:cNvPr id="26" name="Chart 25">
          <a:extLst>
            <a:ext uri="{FF2B5EF4-FFF2-40B4-BE49-F238E27FC236}">
              <a16:creationId xmlns:a16="http://schemas.microsoft.com/office/drawing/2014/main" id="{660F9327-46C6-4A6B-A27F-915E71978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223597</xdr:colOff>
      <xdr:row>31</xdr:row>
      <xdr:rowOff>118534</xdr:rowOff>
    </xdr:from>
    <xdr:to>
      <xdr:col>11</xdr:col>
      <xdr:colOff>459729</xdr:colOff>
      <xdr:row>43</xdr:row>
      <xdr:rowOff>110914</xdr:rowOff>
    </xdr:to>
    <xdr:sp macro="" textlink="">
      <xdr:nvSpPr>
        <xdr:cNvPr id="27" name="Rectangle: Rounded Corners 26">
          <a:extLst>
            <a:ext uri="{FF2B5EF4-FFF2-40B4-BE49-F238E27FC236}">
              <a16:creationId xmlns:a16="http://schemas.microsoft.com/office/drawing/2014/main" id="{C4CA5352-C7DF-476B-A61C-24F15C0FFA19}"/>
            </a:ext>
          </a:extLst>
        </xdr:cNvPr>
        <xdr:cNvSpPr/>
      </xdr:nvSpPr>
      <xdr:spPr>
        <a:xfrm>
          <a:off x="9980521071" y="6180667"/>
          <a:ext cx="3893732" cy="2227580"/>
        </a:xfrm>
        <a:prstGeom prst="roundRect">
          <a:avLst/>
        </a:prstGeom>
        <a:solidFill>
          <a:srgbClr val="8C612B"/>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ar-EG" sz="1100"/>
            <a:t>-</a:t>
          </a:r>
          <a:endParaRPr lang="en-US" sz="1100"/>
        </a:p>
      </xdr:txBody>
    </xdr:sp>
    <xdr:clientData/>
  </xdr:twoCellAnchor>
  <xdr:twoCellAnchor>
    <xdr:from>
      <xdr:col>9</xdr:col>
      <xdr:colOff>482686</xdr:colOff>
      <xdr:row>44</xdr:row>
      <xdr:rowOff>16933</xdr:rowOff>
    </xdr:from>
    <xdr:to>
      <xdr:col>14</xdr:col>
      <xdr:colOff>34475</xdr:colOff>
      <xdr:row>55</xdr:row>
      <xdr:rowOff>93134</xdr:rowOff>
    </xdr:to>
    <xdr:sp macro="" textlink="">
      <xdr:nvSpPr>
        <xdr:cNvPr id="32" name="Rectangle: Rounded Corners 31">
          <a:extLst>
            <a:ext uri="{FF2B5EF4-FFF2-40B4-BE49-F238E27FC236}">
              <a16:creationId xmlns:a16="http://schemas.microsoft.com/office/drawing/2014/main" id="{F70BE32A-CFA4-4E65-928F-F9FB94AFE614}"/>
            </a:ext>
          </a:extLst>
        </xdr:cNvPr>
        <xdr:cNvSpPr/>
      </xdr:nvSpPr>
      <xdr:spPr>
        <a:xfrm>
          <a:off x="9979117525" y="8500533"/>
          <a:ext cx="2599789" cy="2125134"/>
        </a:xfrm>
        <a:prstGeom prst="roundRect">
          <a:avLst/>
        </a:prstGeom>
        <a:solidFill>
          <a:srgbClr val="8C612B"/>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5</xdr:col>
      <xdr:colOff>214883</xdr:colOff>
      <xdr:row>44</xdr:row>
      <xdr:rowOff>34060</xdr:rowOff>
    </xdr:from>
    <xdr:to>
      <xdr:col>9</xdr:col>
      <xdr:colOff>372808</xdr:colOff>
      <xdr:row>55</xdr:row>
      <xdr:rowOff>110261</xdr:rowOff>
    </xdr:to>
    <xdr:sp macro="" textlink="">
      <xdr:nvSpPr>
        <xdr:cNvPr id="33" name="Rectangle: Rounded Corners 32">
          <a:extLst>
            <a:ext uri="{FF2B5EF4-FFF2-40B4-BE49-F238E27FC236}">
              <a16:creationId xmlns:a16="http://schemas.microsoft.com/office/drawing/2014/main" id="{9B3687C0-D39E-45F3-881D-6D58CE889E3B}"/>
            </a:ext>
          </a:extLst>
        </xdr:cNvPr>
        <xdr:cNvSpPr/>
      </xdr:nvSpPr>
      <xdr:spPr>
        <a:xfrm>
          <a:off x="9981827192" y="8517660"/>
          <a:ext cx="2596325" cy="2125134"/>
        </a:xfrm>
        <a:prstGeom prst="roundRect">
          <a:avLst/>
        </a:prstGeom>
        <a:solidFill>
          <a:srgbClr val="8C612B"/>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9</xdr:col>
      <xdr:colOff>574774</xdr:colOff>
      <xdr:row>44</xdr:row>
      <xdr:rowOff>118534</xdr:rowOff>
    </xdr:from>
    <xdr:to>
      <xdr:col>13</xdr:col>
      <xdr:colOff>520510</xdr:colOff>
      <xdr:row>54</xdr:row>
      <xdr:rowOff>152400</xdr:rowOff>
    </xdr:to>
    <xdr:graphicFrame macro="">
      <xdr:nvGraphicFramePr>
        <xdr:cNvPr id="34" name="Chart 33">
          <a:extLst>
            <a:ext uri="{FF2B5EF4-FFF2-40B4-BE49-F238E27FC236}">
              <a16:creationId xmlns:a16="http://schemas.microsoft.com/office/drawing/2014/main" id="{46D0153D-8088-4DA1-B4F7-4645371CBC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341363</xdr:colOff>
      <xdr:row>32</xdr:row>
      <xdr:rowOff>101215</xdr:rowOff>
    </xdr:from>
    <xdr:to>
      <xdr:col>11</xdr:col>
      <xdr:colOff>307496</xdr:colOff>
      <xdr:row>42</xdr:row>
      <xdr:rowOff>181456</xdr:rowOff>
    </xdr:to>
    <xdr:graphicFrame macro="">
      <xdr:nvGraphicFramePr>
        <xdr:cNvPr id="36" name="Chart 35">
          <a:extLst>
            <a:ext uri="{FF2B5EF4-FFF2-40B4-BE49-F238E27FC236}">
              <a16:creationId xmlns:a16="http://schemas.microsoft.com/office/drawing/2014/main" id="{20BCA09B-2984-4AB0-9A60-41D003589E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338667</xdr:colOff>
      <xdr:row>45</xdr:row>
      <xdr:rowOff>42332</xdr:rowOff>
    </xdr:from>
    <xdr:to>
      <xdr:col>9</xdr:col>
      <xdr:colOff>303839</xdr:colOff>
      <xdr:row>54</xdr:row>
      <xdr:rowOff>169525</xdr:rowOff>
    </xdr:to>
    <xdr:graphicFrame macro="">
      <xdr:nvGraphicFramePr>
        <xdr:cNvPr id="38" name="Chart 37">
          <a:extLst>
            <a:ext uri="{FF2B5EF4-FFF2-40B4-BE49-F238E27FC236}">
              <a16:creationId xmlns:a16="http://schemas.microsoft.com/office/drawing/2014/main" id="{867C52EB-30D9-4280-868F-73CFC9607A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491067</xdr:colOff>
      <xdr:row>31</xdr:row>
      <xdr:rowOff>143933</xdr:rowOff>
    </xdr:from>
    <xdr:to>
      <xdr:col>17</xdr:col>
      <xdr:colOff>169333</xdr:colOff>
      <xdr:row>33</xdr:row>
      <xdr:rowOff>76199</xdr:rowOff>
    </xdr:to>
    <xdr:sp macro="" textlink="">
      <xdr:nvSpPr>
        <xdr:cNvPr id="39" name="TextBox 38">
          <a:extLst>
            <a:ext uri="{FF2B5EF4-FFF2-40B4-BE49-F238E27FC236}">
              <a16:creationId xmlns:a16="http://schemas.microsoft.com/office/drawing/2014/main" id="{46078044-EC6F-DD28-F24E-C50ACE168A3F}"/>
            </a:ext>
          </a:extLst>
        </xdr:cNvPr>
        <xdr:cNvSpPr txBox="1"/>
      </xdr:nvSpPr>
      <xdr:spPr>
        <a:xfrm>
          <a:off x="9977153867" y="6206066"/>
          <a:ext cx="2116666" cy="304800"/>
        </a:xfrm>
        <a:prstGeom prst="rect">
          <a:avLst/>
        </a:prstGeom>
        <a:solidFill>
          <a:srgbClr val="8C612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rtl="1"/>
          <a:r>
            <a:rPr lang="en-US" sz="1600" b="1">
              <a:solidFill>
                <a:srgbClr val="142F40"/>
              </a:solidFill>
              <a:latin typeface="+mn-lt"/>
              <a:ea typeface="+mn-ea"/>
              <a:cs typeface="+mn-cs"/>
            </a:rPr>
            <a:t>Sales</a:t>
          </a:r>
          <a:r>
            <a:rPr lang="en-US" sz="1600" b="1"/>
            <a:t> </a:t>
          </a:r>
          <a:r>
            <a:rPr lang="en-US" sz="1600" b="1">
              <a:solidFill>
                <a:srgbClr val="142F40"/>
              </a:solidFill>
              <a:latin typeface="+mn-lt"/>
              <a:ea typeface="+mn-ea"/>
              <a:cs typeface="+mn-cs"/>
            </a:rPr>
            <a:t>by</a:t>
          </a:r>
          <a:r>
            <a:rPr lang="en-US" sz="1600" b="1"/>
            <a:t> </a:t>
          </a:r>
          <a:r>
            <a:rPr lang="en-US" sz="1600" b="1">
              <a:solidFill>
                <a:srgbClr val="142F40"/>
              </a:solidFill>
              <a:latin typeface="+mn-lt"/>
              <a:ea typeface="+mn-ea"/>
              <a:cs typeface="+mn-cs"/>
            </a:rPr>
            <a:t>Platform</a:t>
          </a:r>
        </a:p>
      </xdr:txBody>
    </xdr:sp>
    <xdr:clientData/>
  </xdr:twoCellAnchor>
  <xdr:twoCellAnchor>
    <xdr:from>
      <xdr:col>7</xdr:col>
      <xdr:colOff>160866</xdr:colOff>
      <xdr:row>31</xdr:row>
      <xdr:rowOff>152400</xdr:rowOff>
    </xdr:from>
    <xdr:to>
      <xdr:col>10</xdr:col>
      <xdr:colOff>262466</xdr:colOff>
      <xdr:row>33</xdr:row>
      <xdr:rowOff>76200</xdr:rowOff>
    </xdr:to>
    <xdr:sp macro="" textlink="">
      <xdr:nvSpPr>
        <xdr:cNvPr id="40" name="TextBox 39">
          <a:extLst>
            <a:ext uri="{FF2B5EF4-FFF2-40B4-BE49-F238E27FC236}">
              <a16:creationId xmlns:a16="http://schemas.microsoft.com/office/drawing/2014/main" id="{28BEFCDA-7461-E76A-6C24-EC2C4662C62F}"/>
            </a:ext>
          </a:extLst>
        </xdr:cNvPr>
        <xdr:cNvSpPr txBox="1"/>
      </xdr:nvSpPr>
      <xdr:spPr>
        <a:xfrm>
          <a:off x="9981327934" y="6214533"/>
          <a:ext cx="1930400" cy="296334"/>
        </a:xfrm>
        <a:prstGeom prst="rect">
          <a:avLst/>
        </a:prstGeom>
        <a:solidFill>
          <a:srgbClr val="8C612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rtl="1"/>
          <a:r>
            <a:rPr lang="en-US" sz="1600" b="1">
              <a:solidFill>
                <a:srgbClr val="142F40"/>
              </a:solidFill>
              <a:latin typeface="+mn-lt"/>
              <a:ea typeface="+mn-ea"/>
              <a:cs typeface="+mn-cs"/>
            </a:rPr>
            <a:t>Orders</a:t>
          </a:r>
          <a:r>
            <a:rPr lang="en-US" sz="1100" b="1"/>
            <a:t> </a:t>
          </a:r>
          <a:r>
            <a:rPr lang="en-US" sz="1600" b="1">
              <a:solidFill>
                <a:srgbClr val="142F40"/>
              </a:solidFill>
              <a:latin typeface="+mn-lt"/>
              <a:ea typeface="+mn-ea"/>
              <a:cs typeface="+mn-cs"/>
            </a:rPr>
            <a:t>by</a:t>
          </a:r>
          <a:r>
            <a:rPr lang="en-US" sz="1100" b="1"/>
            <a:t> </a:t>
          </a:r>
          <a:r>
            <a:rPr lang="en-US" sz="1600" b="1">
              <a:solidFill>
                <a:srgbClr val="142F40"/>
              </a:solidFill>
              <a:latin typeface="+mn-lt"/>
              <a:ea typeface="+mn-ea"/>
              <a:cs typeface="+mn-cs"/>
            </a:rPr>
            <a:t>Area</a:t>
          </a:r>
        </a:p>
      </xdr:txBody>
    </xdr:sp>
    <xdr:clientData/>
  </xdr:twoCellAnchor>
  <xdr:twoCellAnchor>
    <xdr:from>
      <xdr:col>14</xdr:col>
      <xdr:colOff>509923</xdr:colOff>
      <xdr:row>44</xdr:row>
      <xdr:rowOff>75431</xdr:rowOff>
    </xdr:from>
    <xdr:to>
      <xdr:col>17</xdr:col>
      <xdr:colOff>569190</xdr:colOff>
      <xdr:row>45</xdr:row>
      <xdr:rowOff>172606</xdr:rowOff>
    </xdr:to>
    <xdr:sp macro="" textlink="">
      <xdr:nvSpPr>
        <xdr:cNvPr id="41" name="TextBox 40">
          <a:extLst>
            <a:ext uri="{FF2B5EF4-FFF2-40B4-BE49-F238E27FC236}">
              <a16:creationId xmlns:a16="http://schemas.microsoft.com/office/drawing/2014/main" id="{D6E54B15-95C8-1913-AD2C-7E3821A3059E}"/>
            </a:ext>
          </a:extLst>
        </xdr:cNvPr>
        <xdr:cNvSpPr txBox="1"/>
      </xdr:nvSpPr>
      <xdr:spPr>
        <a:xfrm>
          <a:off x="9920064674" y="8466090"/>
          <a:ext cx="1877676" cy="279016"/>
        </a:xfrm>
        <a:prstGeom prst="rect">
          <a:avLst/>
        </a:prstGeom>
        <a:solidFill>
          <a:srgbClr val="8C612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1"/>
          <a:r>
            <a:rPr lang="en-US" sz="1400" b="1">
              <a:solidFill>
                <a:srgbClr val="142F40"/>
              </a:solidFill>
              <a:latin typeface="+mn-lt"/>
              <a:ea typeface="+mn-ea"/>
              <a:cs typeface="+mn-cs"/>
            </a:rPr>
            <a:t>On-time</a:t>
          </a:r>
          <a:r>
            <a:rPr lang="en-US" sz="1400" b="1"/>
            <a:t> </a:t>
          </a:r>
          <a:r>
            <a:rPr lang="en-US" sz="1400" b="1">
              <a:solidFill>
                <a:srgbClr val="142F40"/>
              </a:solidFill>
              <a:latin typeface="+mn-lt"/>
              <a:ea typeface="+mn-ea"/>
              <a:cs typeface="+mn-cs"/>
            </a:rPr>
            <a:t>Delivery</a:t>
          </a:r>
          <a:r>
            <a:rPr lang="en-US" sz="1400" b="1"/>
            <a:t> </a:t>
          </a:r>
          <a:r>
            <a:rPr lang="en-US" sz="1400" b="1">
              <a:solidFill>
                <a:srgbClr val="142F40"/>
              </a:solidFill>
              <a:latin typeface="+mn-lt"/>
              <a:ea typeface="+mn-ea"/>
              <a:cs typeface="+mn-cs"/>
            </a:rPr>
            <a:t>Rate</a:t>
          </a:r>
        </a:p>
      </xdr:txBody>
    </xdr:sp>
    <xdr:clientData/>
  </xdr:twoCellAnchor>
  <xdr:twoCellAnchor>
    <xdr:from>
      <xdr:col>10</xdr:col>
      <xdr:colOff>128347</xdr:colOff>
      <xdr:row>44</xdr:row>
      <xdr:rowOff>67733</xdr:rowOff>
    </xdr:from>
    <xdr:to>
      <xdr:col>13</xdr:col>
      <xdr:colOff>297679</xdr:colOff>
      <xdr:row>46</xdr:row>
      <xdr:rowOff>50800</xdr:rowOff>
    </xdr:to>
    <xdr:sp macro="" textlink="">
      <xdr:nvSpPr>
        <xdr:cNvPr id="42" name="TextBox 41">
          <a:extLst>
            <a:ext uri="{FF2B5EF4-FFF2-40B4-BE49-F238E27FC236}">
              <a16:creationId xmlns:a16="http://schemas.microsoft.com/office/drawing/2014/main" id="{7C1497BD-EE12-AB46-E491-E1E2F0345266}"/>
            </a:ext>
          </a:extLst>
        </xdr:cNvPr>
        <xdr:cNvSpPr txBox="1"/>
      </xdr:nvSpPr>
      <xdr:spPr>
        <a:xfrm>
          <a:off x="9979463921" y="8551333"/>
          <a:ext cx="1998132" cy="355600"/>
        </a:xfrm>
        <a:prstGeom prst="rect">
          <a:avLst/>
        </a:prstGeom>
        <a:solidFill>
          <a:srgbClr val="8C612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1"/>
          <a:r>
            <a:rPr lang="en-US" sz="1400" b="1">
              <a:solidFill>
                <a:srgbClr val="142F40"/>
              </a:solidFill>
              <a:latin typeface="+mn-lt"/>
              <a:ea typeface="+mn-ea"/>
              <a:cs typeface="+mn-cs"/>
            </a:rPr>
            <a:t>Persons</a:t>
          </a:r>
          <a:r>
            <a:rPr lang="en-US" sz="1400"/>
            <a:t> </a:t>
          </a:r>
          <a:r>
            <a:rPr lang="en-US" sz="1400" b="1">
              <a:solidFill>
                <a:srgbClr val="142F40"/>
              </a:solidFill>
              <a:latin typeface="+mn-lt"/>
              <a:ea typeface="+mn-ea"/>
              <a:cs typeface="+mn-cs"/>
            </a:rPr>
            <a:t>And</a:t>
          </a:r>
          <a:r>
            <a:rPr lang="en-US" sz="1400"/>
            <a:t> </a:t>
          </a:r>
          <a:r>
            <a:rPr lang="en-US" sz="1400" b="1">
              <a:solidFill>
                <a:srgbClr val="142F40"/>
              </a:solidFill>
              <a:latin typeface="+mn-lt"/>
              <a:ea typeface="+mn-ea"/>
              <a:cs typeface="+mn-cs"/>
            </a:rPr>
            <a:t>Companies</a:t>
          </a:r>
        </a:p>
      </xdr:txBody>
    </xdr:sp>
    <xdr:clientData/>
  </xdr:twoCellAnchor>
  <xdr:twoCellAnchor>
    <xdr:from>
      <xdr:col>5</xdr:col>
      <xdr:colOff>396009</xdr:colOff>
      <xdr:row>44</xdr:row>
      <xdr:rowOff>127192</xdr:rowOff>
    </xdr:from>
    <xdr:to>
      <xdr:col>9</xdr:col>
      <xdr:colOff>218208</xdr:colOff>
      <xdr:row>46</xdr:row>
      <xdr:rowOff>25592</xdr:rowOff>
    </xdr:to>
    <xdr:sp macro="" textlink="">
      <xdr:nvSpPr>
        <xdr:cNvPr id="43" name="TextBox 42">
          <a:extLst>
            <a:ext uri="{FF2B5EF4-FFF2-40B4-BE49-F238E27FC236}">
              <a16:creationId xmlns:a16="http://schemas.microsoft.com/office/drawing/2014/main" id="{5ECF3726-762E-EF4C-9C8C-EFC68A11BF13}"/>
            </a:ext>
          </a:extLst>
        </xdr:cNvPr>
        <xdr:cNvSpPr txBox="1"/>
      </xdr:nvSpPr>
      <xdr:spPr>
        <a:xfrm>
          <a:off x="9981981792" y="8610792"/>
          <a:ext cx="2260599" cy="270933"/>
        </a:xfrm>
        <a:prstGeom prst="rect">
          <a:avLst/>
        </a:prstGeom>
        <a:solidFill>
          <a:srgbClr val="8C612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1"/>
          <a:r>
            <a:rPr lang="en-US" sz="1400" b="1">
              <a:solidFill>
                <a:srgbClr val="142F40"/>
              </a:solidFill>
              <a:latin typeface="+mn-lt"/>
              <a:ea typeface="+mn-ea"/>
              <a:cs typeface="+mn-cs"/>
            </a:rPr>
            <a:t>Delivery Status Breakdown</a:t>
          </a:r>
        </a:p>
      </xdr:txBody>
    </xdr:sp>
    <xdr:clientData/>
  </xdr:twoCellAnchor>
  <xdr:twoCellAnchor>
    <xdr:from>
      <xdr:col>1</xdr:col>
      <xdr:colOff>2353735</xdr:colOff>
      <xdr:row>32</xdr:row>
      <xdr:rowOff>33865</xdr:rowOff>
    </xdr:from>
    <xdr:to>
      <xdr:col>4</xdr:col>
      <xdr:colOff>465668</xdr:colOff>
      <xdr:row>34</xdr:row>
      <xdr:rowOff>43294</xdr:rowOff>
    </xdr:to>
    <xdr:sp macro="" textlink="">
      <xdr:nvSpPr>
        <xdr:cNvPr id="44" name="TextBox 43">
          <a:extLst>
            <a:ext uri="{FF2B5EF4-FFF2-40B4-BE49-F238E27FC236}">
              <a16:creationId xmlns:a16="http://schemas.microsoft.com/office/drawing/2014/main" id="{71C91D09-C78F-924A-DF43-DDA9FAEE2926}"/>
            </a:ext>
          </a:extLst>
        </xdr:cNvPr>
        <xdr:cNvSpPr txBox="1"/>
      </xdr:nvSpPr>
      <xdr:spPr>
        <a:xfrm>
          <a:off x="9984782332" y="6282265"/>
          <a:ext cx="2201333" cy="381962"/>
        </a:xfrm>
        <a:prstGeom prst="rect">
          <a:avLst/>
        </a:prstGeom>
        <a:solidFill>
          <a:srgbClr val="8C612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1"/>
          <a:r>
            <a:rPr lang="en-US" sz="1600" b="1">
              <a:solidFill>
                <a:srgbClr val="142F40"/>
              </a:solidFill>
            </a:rPr>
            <a:t>Top Selling Products</a:t>
          </a:r>
        </a:p>
      </xdr:txBody>
    </xdr:sp>
    <xdr:clientData/>
  </xdr:twoCellAnchor>
  <xdr:twoCellAnchor editAs="oneCell">
    <xdr:from>
      <xdr:col>20</xdr:col>
      <xdr:colOff>247841</xdr:colOff>
      <xdr:row>34</xdr:row>
      <xdr:rowOff>59268</xdr:rowOff>
    </xdr:from>
    <xdr:to>
      <xdr:col>21</xdr:col>
      <xdr:colOff>471439</xdr:colOff>
      <xdr:row>38</xdr:row>
      <xdr:rowOff>25401</xdr:rowOff>
    </xdr:to>
    <xdr:pic>
      <xdr:nvPicPr>
        <xdr:cNvPr id="46" name="Picture 45">
          <a:extLst>
            <a:ext uri="{FF2B5EF4-FFF2-40B4-BE49-F238E27FC236}">
              <a16:creationId xmlns:a16="http://schemas.microsoft.com/office/drawing/2014/main" id="{8C400C6C-AA1D-13F9-EDCB-04FDA53DA9FB}"/>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1743" t="10850" r="55991" b="14164"/>
        <a:stretch/>
      </xdr:blipFill>
      <xdr:spPr>
        <a:xfrm>
          <a:off x="9974413361" y="6680201"/>
          <a:ext cx="833198" cy="711200"/>
        </a:xfrm>
        <a:prstGeom prst="rect">
          <a:avLst/>
        </a:prstGeom>
      </xdr:spPr>
    </xdr:pic>
    <xdr:clientData/>
  </xdr:twoCellAnchor>
  <xdr:twoCellAnchor editAs="oneCell">
    <xdr:from>
      <xdr:col>20</xdr:col>
      <xdr:colOff>93133</xdr:colOff>
      <xdr:row>40</xdr:row>
      <xdr:rowOff>169334</xdr:rowOff>
    </xdr:from>
    <xdr:to>
      <xdr:col>22</xdr:col>
      <xdr:colOff>53878</xdr:colOff>
      <xdr:row>47</xdr:row>
      <xdr:rowOff>12405</xdr:rowOff>
    </xdr:to>
    <xdr:pic>
      <xdr:nvPicPr>
        <xdr:cNvPr id="48" name="Picture 47">
          <a:extLst>
            <a:ext uri="{FF2B5EF4-FFF2-40B4-BE49-F238E27FC236}">
              <a16:creationId xmlns:a16="http://schemas.microsoft.com/office/drawing/2014/main" id="{785827CD-6D36-91B9-210F-A474AE7DB9D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974221322" y="7907867"/>
          <a:ext cx="1179945" cy="1146938"/>
        </a:xfrm>
        <a:prstGeom prst="rect">
          <a:avLst/>
        </a:prstGeom>
      </xdr:spPr>
    </xdr:pic>
    <xdr:clientData/>
  </xdr:twoCellAnchor>
  <xdr:twoCellAnchor editAs="oneCell">
    <xdr:from>
      <xdr:col>20</xdr:col>
      <xdr:colOff>256310</xdr:colOff>
      <xdr:row>49</xdr:row>
      <xdr:rowOff>185883</xdr:rowOff>
    </xdr:from>
    <xdr:to>
      <xdr:col>21</xdr:col>
      <xdr:colOff>573040</xdr:colOff>
      <xdr:row>54</xdr:row>
      <xdr:rowOff>118149</xdr:rowOff>
    </xdr:to>
    <xdr:pic>
      <xdr:nvPicPr>
        <xdr:cNvPr id="52" name="Picture 51">
          <a:extLst>
            <a:ext uri="{FF2B5EF4-FFF2-40B4-BE49-F238E27FC236}">
              <a16:creationId xmlns:a16="http://schemas.microsoft.com/office/drawing/2014/main" id="{D0A13E68-A3E7-4B04-26E5-E929F153B5C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974311760" y="9600816"/>
          <a:ext cx="926330" cy="863600"/>
        </a:xfrm>
        <a:prstGeom prst="rect">
          <a:avLst/>
        </a:prstGeom>
      </xdr:spPr>
    </xdr:pic>
    <xdr:clientData/>
  </xdr:twoCellAnchor>
  <xdr:twoCellAnchor editAs="oneCell">
    <xdr:from>
      <xdr:col>0</xdr:col>
      <xdr:colOff>414866</xdr:colOff>
      <xdr:row>25</xdr:row>
      <xdr:rowOff>177800</xdr:rowOff>
    </xdr:from>
    <xdr:to>
      <xdr:col>1</xdr:col>
      <xdr:colOff>1651000</xdr:colOff>
      <xdr:row>35</xdr:row>
      <xdr:rowOff>160867</xdr:rowOff>
    </xdr:to>
    <xdr:pic>
      <xdr:nvPicPr>
        <xdr:cNvPr id="54" name="Picture 53">
          <a:extLst>
            <a:ext uri="{FF2B5EF4-FFF2-40B4-BE49-F238E27FC236}">
              <a16:creationId xmlns:a16="http://schemas.microsoft.com/office/drawing/2014/main" id="{E4EBACDB-A270-28C8-409E-57A7933DE34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987686400" y="5122333"/>
          <a:ext cx="1845734" cy="1845734"/>
        </a:xfrm>
        <a:prstGeom prst="ellipse">
          <a:avLst/>
        </a:prstGeom>
        <a:ln w="63500" cap="rnd">
          <a:solidFill>
            <a:srgbClr val="333333"/>
          </a:solidFill>
        </a:ln>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0</xdr:col>
      <xdr:colOff>177798</xdr:colOff>
      <xdr:row>36</xdr:row>
      <xdr:rowOff>76201</xdr:rowOff>
    </xdr:from>
    <xdr:to>
      <xdr:col>1</xdr:col>
      <xdr:colOff>1854199</xdr:colOff>
      <xdr:row>44</xdr:row>
      <xdr:rowOff>1</xdr:rowOff>
    </xdr:to>
    <mc:AlternateContent xmlns:mc="http://schemas.openxmlformats.org/markup-compatibility/2006" xmlns:a14="http://schemas.microsoft.com/office/drawing/2010/main">
      <mc:Choice Requires="a14">
        <xdr:graphicFrame macro="">
          <xdr:nvGraphicFramePr>
            <xdr:cNvPr id="55" name="المحافظة">
              <a:extLst>
                <a:ext uri="{FF2B5EF4-FFF2-40B4-BE49-F238E27FC236}">
                  <a16:creationId xmlns:a16="http://schemas.microsoft.com/office/drawing/2014/main" id="{1267DAE3-0044-41A6-B29C-AD7B6C31092B}"/>
                </a:ext>
              </a:extLst>
            </xdr:cNvPr>
            <xdr:cNvGraphicFramePr/>
          </xdr:nvGraphicFramePr>
          <xdr:xfrm>
            <a:off x="0" y="0"/>
            <a:ext cx="0" cy="0"/>
          </xdr:xfrm>
          <a:graphic>
            <a:graphicData uri="http://schemas.microsoft.com/office/drawing/2010/slicer">
              <sle:slicer xmlns:sle="http://schemas.microsoft.com/office/drawing/2010/slicer" name="المحافظة"/>
            </a:graphicData>
          </a:graphic>
        </xdr:graphicFrame>
      </mc:Choice>
      <mc:Fallback xmlns="">
        <xdr:sp macro="" textlink="">
          <xdr:nvSpPr>
            <xdr:cNvPr id="0" name=""/>
            <xdr:cNvSpPr>
              <a:spLocks noTextEdit="1"/>
            </xdr:cNvSpPr>
          </xdr:nvSpPr>
          <xdr:spPr>
            <a:xfrm>
              <a:off x="9987483201" y="7069668"/>
              <a:ext cx="2286001" cy="14139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186267</xdr:colOff>
      <xdr:row>44</xdr:row>
      <xdr:rowOff>25400</xdr:rowOff>
    </xdr:from>
    <xdr:to>
      <xdr:col>1</xdr:col>
      <xdr:colOff>1904999</xdr:colOff>
      <xdr:row>47</xdr:row>
      <xdr:rowOff>177801</xdr:rowOff>
    </xdr:to>
    <mc:AlternateContent xmlns:mc="http://schemas.openxmlformats.org/markup-compatibility/2006" xmlns:a14="http://schemas.microsoft.com/office/drawing/2010/main">
      <mc:Choice Requires="a14">
        <xdr:graphicFrame macro="">
          <xdr:nvGraphicFramePr>
            <xdr:cNvPr id="56" name="الحالة">
              <a:extLst>
                <a:ext uri="{FF2B5EF4-FFF2-40B4-BE49-F238E27FC236}">
                  <a16:creationId xmlns:a16="http://schemas.microsoft.com/office/drawing/2014/main" id="{0FE6F34B-3B2C-428A-ADA3-C41977445D6E}"/>
                </a:ext>
              </a:extLst>
            </xdr:cNvPr>
            <xdr:cNvGraphicFramePr/>
          </xdr:nvGraphicFramePr>
          <xdr:xfrm>
            <a:off x="0" y="0"/>
            <a:ext cx="0" cy="0"/>
          </xdr:xfrm>
          <a:graphic>
            <a:graphicData uri="http://schemas.microsoft.com/office/drawing/2010/slicer">
              <sle:slicer xmlns:sle="http://schemas.microsoft.com/office/drawing/2010/slicer" name="الحالة"/>
            </a:graphicData>
          </a:graphic>
        </xdr:graphicFrame>
      </mc:Choice>
      <mc:Fallback xmlns="">
        <xdr:sp macro="" textlink="">
          <xdr:nvSpPr>
            <xdr:cNvPr id="0" name=""/>
            <xdr:cNvSpPr>
              <a:spLocks noTextEdit="1"/>
            </xdr:cNvSpPr>
          </xdr:nvSpPr>
          <xdr:spPr>
            <a:xfrm>
              <a:off x="9987432401" y="8509000"/>
              <a:ext cx="2328332" cy="711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211668</xdr:colOff>
      <xdr:row>47</xdr:row>
      <xdr:rowOff>135466</xdr:rowOff>
    </xdr:from>
    <xdr:to>
      <xdr:col>1</xdr:col>
      <xdr:colOff>1896533</xdr:colOff>
      <xdr:row>54</xdr:row>
      <xdr:rowOff>42332</xdr:rowOff>
    </xdr:to>
    <mc:AlternateContent xmlns:mc="http://schemas.openxmlformats.org/markup-compatibility/2006" xmlns:a14="http://schemas.microsoft.com/office/drawing/2010/main">
      <mc:Choice Requires="a14">
        <xdr:graphicFrame macro="">
          <xdr:nvGraphicFramePr>
            <xdr:cNvPr id="58" name="منصة البيع ">
              <a:extLst>
                <a:ext uri="{FF2B5EF4-FFF2-40B4-BE49-F238E27FC236}">
                  <a16:creationId xmlns:a16="http://schemas.microsoft.com/office/drawing/2014/main" id="{15FD9F6F-6D81-4D88-93C2-1A732D97CD83}"/>
                </a:ext>
              </a:extLst>
            </xdr:cNvPr>
            <xdr:cNvGraphicFramePr/>
          </xdr:nvGraphicFramePr>
          <xdr:xfrm>
            <a:off x="0" y="0"/>
            <a:ext cx="0" cy="0"/>
          </xdr:xfrm>
          <a:graphic>
            <a:graphicData uri="http://schemas.microsoft.com/office/drawing/2010/slicer">
              <sle:slicer xmlns:sle="http://schemas.microsoft.com/office/drawing/2010/slicer" name="منصة البيع "/>
            </a:graphicData>
          </a:graphic>
        </xdr:graphicFrame>
      </mc:Choice>
      <mc:Fallback xmlns="">
        <xdr:sp macro="" textlink="">
          <xdr:nvSpPr>
            <xdr:cNvPr id="0" name=""/>
            <xdr:cNvSpPr>
              <a:spLocks noTextEdit="1"/>
            </xdr:cNvSpPr>
          </xdr:nvSpPr>
          <xdr:spPr>
            <a:xfrm>
              <a:off x="9987440867" y="9177866"/>
              <a:ext cx="2294465" cy="12107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0.15603</cdr:x>
      <cdr:y>0.01786</cdr:y>
    </cdr:from>
    <cdr:to>
      <cdr:x>0.85816</cdr:x>
      <cdr:y>0.17411</cdr:y>
    </cdr:to>
    <cdr:sp macro="" textlink="">
      <cdr:nvSpPr>
        <cdr:cNvPr id="2" name="TextBox 1">
          <a:extLst xmlns:a="http://schemas.openxmlformats.org/drawingml/2006/main">
            <a:ext uri="{FF2B5EF4-FFF2-40B4-BE49-F238E27FC236}">
              <a16:creationId xmlns:a16="http://schemas.microsoft.com/office/drawing/2014/main" id="{2D83F1D8-5DF1-B153-BFE3-4C0F9BD2C5B1}"/>
            </a:ext>
          </a:extLst>
        </cdr:cNvPr>
        <cdr:cNvSpPr txBox="1"/>
      </cdr:nvSpPr>
      <cdr:spPr>
        <a:xfrm xmlns:a="http://schemas.openxmlformats.org/drawingml/2006/main">
          <a:off x="372535" y="33866"/>
          <a:ext cx="1676400" cy="29633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9.553420601849" missingItemsLimit="0" createdVersion="8" refreshedVersion="8" minRefreshableVersion="3" recordCount="126" xr:uid="{7A1F493F-AD92-42C1-B755-5BCC006D8BBB}">
  <cacheSource type="worksheet">
    <worksheetSource name="table1"/>
  </cacheSource>
  <cacheFields count="19">
    <cacheField name="أسم العميل" numFmtId="0">
      <sharedItems/>
    </cacheField>
    <cacheField name="العنوان" numFmtId="0">
      <sharedItems containsBlank="1"/>
    </cacheField>
    <cacheField name="المحافظة" numFmtId="0">
      <sharedItems count="10">
        <s v="الجيزة"/>
        <s v="الإسكندرية"/>
        <s v="مطروح"/>
        <s v="البحر الأحمر"/>
        <s v="الأقصر"/>
        <s v="القاهرة"/>
        <s v="القليوبية"/>
        <s v="السويس"/>
        <s v="أسيوط"/>
        <s v="الاسماعيلية"/>
      </sharedItems>
    </cacheField>
    <cacheField name="منصة البيع " numFmtId="0">
      <sharedItems count="8">
        <s v="هومزمارت"/>
        <s v="شيك هومز"/>
        <s v="فيسبوك"/>
        <s v="تاكي"/>
        <s v="اوسكار ريتن "/>
        <s v="السويس"/>
        <s v="منزلي "/>
        <s v="كيمت "/>
      </sharedItems>
    </cacheField>
    <cacheField name="اسم الصنف" numFmtId="0">
      <sharedItems containsBlank="1"/>
    </cacheField>
    <cacheField name="اللون المعدن" numFmtId="0">
      <sharedItems count="11">
        <s v="ابيض"/>
        <s v="اسود"/>
        <s v="ازرق"/>
        <s v="رمادى"/>
        <s v="رمادي"/>
        <s v="دهبي"/>
        <s v="بنفسجى"/>
        <s v="اسود وبنى"/>
        <s v="الوان"/>
        <s v="بينك"/>
        <s v="نبيتى "/>
      </sharedItems>
    </cacheField>
    <cacheField name="طريقة الدفع 2" numFmtId="0">
      <sharedItems containsMixedTypes="1" containsNumber="1" containsInteger="1" minValue="0" maxValue="0"/>
    </cacheField>
    <cacheField name="المنتج" numFmtId="0">
      <sharedItems containsBlank="1"/>
    </cacheField>
    <cacheField name="سعر البيع " numFmtId="0">
      <sharedItems containsSemiMixedTypes="0" containsString="0" containsNumber="1" minValue="4020" maxValue="22000"/>
    </cacheField>
    <cacheField name="طريقه الدفع " numFmtId="0">
      <sharedItems containsBlank="1" containsMixedTypes="1" containsNumber="1" minValue="1278.53" maxValue="22000"/>
    </cacheField>
    <cacheField name="مدة التسليم الهدف" numFmtId="0">
      <sharedItems containsSemiMixedTypes="0" containsString="0" containsNumber="1" containsInteger="1" minValue="0" maxValue="67"/>
    </cacheField>
    <cacheField name="مدة التسليم الفعلي" numFmtId="0">
      <sharedItems containsSemiMixedTypes="0" containsString="0" containsNumber="1" containsInteger="1" minValue="0" maxValue="59"/>
    </cacheField>
    <cacheField name="ميعاد الطلب" numFmtId="0">
      <sharedItems containsString="0" containsBlank="1" containsNumber="1" containsInteger="1" minValue="45500" maxValue="45640"/>
    </cacheField>
    <cacheField name="ميعاد التسليم" numFmtId="0">
      <sharedItems containsString="0" containsBlank="1" containsNumber="1" containsInteger="1" minValue="45524" maxValue="45662"/>
    </cacheField>
    <cacheField name="تاريخ التسليم" numFmtId="0">
      <sharedItems containsString="0" containsBlank="1" containsNumber="1" containsInteger="1" minValue="45514" maxValue="45655"/>
    </cacheField>
    <cacheField name="الحالة" numFmtId="0">
      <sharedItems count="3">
        <s v="تم التسليم"/>
        <s v="مرفوض "/>
        <s v="مرتجع"/>
      </sharedItems>
    </cacheField>
    <cacheField name="نوع العميل" numFmtId="0">
      <sharedItems count="2">
        <s v="افراد"/>
        <s v="شركات"/>
      </sharedItems>
    </cacheField>
    <cacheField name="التسليم في الموعد" numFmtId="0">
      <sharedItems count="2">
        <s v="Late"/>
        <s v="On-time"/>
      </sharedItems>
    </cacheField>
    <cacheField name="الصنف" numFmtId="0">
      <sharedItems count="6">
        <s v="سرير"/>
        <s v="ترابيزه"/>
        <s v="كنبة"/>
        <s v="ركنة"/>
        <s v="كرسى"/>
        <s v="شيزلونج"/>
      </sharedItems>
    </cacheField>
  </cacheFields>
  <extLst>
    <ext xmlns:x14="http://schemas.microsoft.com/office/spreadsheetml/2009/9/main" uri="{725AE2AE-9491-48be-B2B4-4EB974FC3084}">
      <x14:pivotCacheDefinition pivotCacheId="11225987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s v="خالد عبد القوى"/>
    <s v="العجوزه - الجيزه"/>
    <x v="0"/>
    <x v="0"/>
    <s v="منطبق"/>
    <x v="0"/>
    <s v="مسبق الدفع"/>
    <s v="سرير منطبق الحديد ابيض والقماش ابيض "/>
    <n v="10160"/>
    <s v="مسبق الدفع"/>
    <n v="0"/>
    <n v="14"/>
    <n v="45500"/>
    <m/>
    <n v="45514"/>
    <x v="0"/>
    <x v="0"/>
    <x v="0"/>
    <x v="0"/>
  </r>
  <r>
    <s v="محمود"/>
    <s v="سموحه - اسكندريه"/>
    <x v="1"/>
    <x v="0"/>
    <s v="منطبق"/>
    <x v="1"/>
    <s v="كاش"/>
    <s v="سرير منطبق اسود والقماش اسود "/>
    <n v="10160"/>
    <n v="9749"/>
    <n v="0"/>
    <n v="14"/>
    <n v="45501"/>
    <m/>
    <n v="45515"/>
    <x v="0"/>
    <x v="0"/>
    <x v="0"/>
    <x v="0"/>
  </r>
  <r>
    <s v="سعيد"/>
    <s v="سيدى عبد الرحمن - الساحل الشمالى "/>
    <x v="2"/>
    <x v="0"/>
    <s v="دورين"/>
    <x v="2"/>
    <s v="كاش"/>
    <s v="سرير كيفينج مقاس 90 لون ازرق "/>
    <n v="11455"/>
    <n v="10067.68"/>
    <n v="0"/>
    <n v="0"/>
    <n v="45500"/>
    <m/>
    <m/>
    <x v="1"/>
    <x v="0"/>
    <x v="1"/>
    <x v="0"/>
  </r>
  <r>
    <s v="ساندرا"/>
    <s v="الغردقه "/>
    <x v="3"/>
    <x v="0"/>
    <m/>
    <x v="1"/>
    <s v="مسبق الدفع"/>
    <s v="ترابيزه قهوه متحركه "/>
    <n v="8642"/>
    <s v="مسبق الدفع"/>
    <n v="13"/>
    <n v="2"/>
    <n v="45529"/>
    <n v="45542"/>
    <n v="45531"/>
    <x v="0"/>
    <x v="0"/>
    <x v="1"/>
    <x v="1"/>
  </r>
  <r>
    <s v="زينا"/>
    <s v="سيدى عبد الرحمن - الساحل الشمالى "/>
    <x v="2"/>
    <x v="0"/>
    <s v="دورين"/>
    <x v="3"/>
    <s v="كاش"/>
    <s v="سرير نوفال متر رمادى "/>
    <n v="12833"/>
    <n v="12974.22"/>
    <n v="15"/>
    <n v="0"/>
    <n v="45520"/>
    <n v="45535"/>
    <m/>
    <x v="1"/>
    <x v="0"/>
    <x v="1"/>
    <x v="0"/>
  </r>
  <r>
    <s v="شيك هومز"/>
    <m/>
    <x v="4"/>
    <x v="1"/>
    <s v="كنبة بسرير"/>
    <x v="4"/>
    <s v="مسبق الدفع"/>
    <s v="كنبه سرير رمادى "/>
    <n v="14550"/>
    <s v="مسبق الدفع"/>
    <n v="20"/>
    <n v="22"/>
    <n v="45518"/>
    <n v="45538"/>
    <n v="45540"/>
    <x v="0"/>
    <x v="1"/>
    <x v="0"/>
    <x v="2"/>
  </r>
  <r>
    <s v="احمد"/>
    <s v="التجمع الخامس"/>
    <x v="5"/>
    <x v="2"/>
    <s v="كنبة بسرير"/>
    <x v="4"/>
    <s v="كاش"/>
    <s v="كنبه سرير رمادى "/>
    <n v="12000"/>
    <n v="12000"/>
    <n v="3"/>
    <n v="2"/>
    <n v="45521"/>
    <n v="45524"/>
    <n v="45523"/>
    <x v="0"/>
    <x v="0"/>
    <x v="1"/>
    <x v="2"/>
  </r>
  <r>
    <s v="محمود"/>
    <s v="٦ اكتوبر الجيزه "/>
    <x v="0"/>
    <x v="0"/>
    <s v="فردى"/>
    <x v="0"/>
    <s v="مسبق الدفع"/>
    <s v="سرير فردى ابيض "/>
    <n v="7228"/>
    <s v="مسبق الدفع"/>
    <n v="9"/>
    <n v="16"/>
    <n v="45529"/>
    <n v="45538"/>
    <n v="45545"/>
    <x v="0"/>
    <x v="0"/>
    <x v="0"/>
    <x v="0"/>
  </r>
  <r>
    <s v="تاكى"/>
    <s v="العباسيه"/>
    <x v="5"/>
    <x v="3"/>
    <s v="ركنة بسرير"/>
    <x v="0"/>
    <s v="كاش"/>
    <s v="ركنه "/>
    <n v="22000"/>
    <n v="22000"/>
    <n v="13"/>
    <n v="29"/>
    <n v="45523"/>
    <n v="45536"/>
    <n v="45552"/>
    <x v="0"/>
    <x v="1"/>
    <x v="0"/>
    <x v="3"/>
  </r>
  <r>
    <s v="تاكى"/>
    <s v="العباسيه"/>
    <x v="5"/>
    <x v="3"/>
    <s v="سحارة"/>
    <x v="0"/>
    <s v="كاش"/>
    <s v="٢ كنبه سحاره بمخدع"/>
    <n v="16000"/>
    <n v="16000"/>
    <n v="0"/>
    <n v="0"/>
    <m/>
    <m/>
    <m/>
    <x v="1"/>
    <x v="1"/>
    <x v="1"/>
    <x v="2"/>
  </r>
  <r>
    <s v="تاكى"/>
    <s v="العباسيه "/>
    <x v="5"/>
    <x v="3"/>
    <s v="سحارة"/>
    <x v="0"/>
    <s v="كاش"/>
    <s v="٢ كنبه سحاره بدون مخدع "/>
    <n v="6000"/>
    <n v="12000"/>
    <n v="21"/>
    <n v="23"/>
    <n v="45529"/>
    <n v="45550"/>
    <n v="45552"/>
    <x v="0"/>
    <x v="1"/>
    <x v="0"/>
    <x v="2"/>
  </r>
  <r>
    <s v="تاكى"/>
    <s v="العباسيه "/>
    <x v="5"/>
    <x v="3"/>
    <s v="سحارة"/>
    <x v="0"/>
    <s v="كاش"/>
    <s v="٢ كنبه سحاره بدون مخدع "/>
    <n v="6000"/>
    <n v="12000"/>
    <n v="21"/>
    <n v="23"/>
    <n v="45529"/>
    <n v="45550"/>
    <n v="45552"/>
    <x v="0"/>
    <x v="1"/>
    <x v="0"/>
    <x v="2"/>
  </r>
  <r>
    <s v="على رشوان"/>
    <s v="مصر الجديده"/>
    <x v="5"/>
    <x v="0"/>
    <s v="دورين"/>
    <x v="0"/>
    <s v="كاش"/>
    <s v="سرير نوفال ابيض مقاس ٨٠"/>
    <n v="10499"/>
    <n v="8924"/>
    <n v="15"/>
    <n v="7"/>
    <n v="45536"/>
    <n v="45551"/>
    <n v="45543"/>
    <x v="0"/>
    <x v="0"/>
    <x v="1"/>
    <x v="0"/>
  </r>
  <r>
    <s v="احمد فخرى"/>
    <s v="٦ اكتوبر الجيزه "/>
    <x v="0"/>
    <x v="0"/>
    <s v="فردى"/>
    <x v="0"/>
    <s v="كاش"/>
    <s v="سرير فردى خشب موسكى الحديد ابيض مقاس ٨٠"/>
    <n v="7295"/>
    <n v="5895"/>
    <n v="9"/>
    <n v="0"/>
    <n v="45540"/>
    <n v="45549"/>
    <m/>
    <x v="1"/>
    <x v="0"/>
    <x v="1"/>
    <x v="0"/>
  </r>
  <r>
    <s v="لينا"/>
    <s v="المقطم "/>
    <x v="5"/>
    <x v="0"/>
    <s v="2 ميكانزم"/>
    <x v="1"/>
    <s v="مسبق الدفع"/>
    <s v="ترابيزه قهوه علويه جديده "/>
    <n v="7849"/>
    <s v="مسبق الدفع"/>
    <n v="12"/>
    <n v="21"/>
    <n v="45539"/>
    <n v="45551"/>
    <n v="45560"/>
    <x v="2"/>
    <x v="0"/>
    <x v="0"/>
    <x v="1"/>
  </r>
  <r>
    <s v="فيصل نعيم"/>
    <s v="التجمع الخامس "/>
    <x v="5"/>
    <x v="4"/>
    <s v="دورين"/>
    <x v="1"/>
    <s v="كاش"/>
    <s v="٢ سرير كيفنج ١٢٠ اسود "/>
    <n v="6180"/>
    <n v="9700"/>
    <n v="13"/>
    <n v="12"/>
    <n v="45538"/>
    <n v="45551"/>
    <n v="45550"/>
    <x v="0"/>
    <x v="0"/>
    <x v="1"/>
    <x v="0"/>
  </r>
  <r>
    <s v="فيصل نعيم"/>
    <s v="التجمع الخامس "/>
    <x v="5"/>
    <x v="4"/>
    <s v="دورين"/>
    <x v="1"/>
    <s v="كاش"/>
    <s v="٢ سرير كيفنج ١٢٠ اسود "/>
    <n v="6180"/>
    <n v="9700"/>
    <n v="13"/>
    <n v="12"/>
    <n v="45538"/>
    <n v="45551"/>
    <n v="45550"/>
    <x v="0"/>
    <x v="0"/>
    <x v="1"/>
    <x v="0"/>
  </r>
  <r>
    <s v="احمد"/>
    <s v="مدينه نصر "/>
    <x v="5"/>
    <x v="0"/>
    <s v="دورين"/>
    <x v="0"/>
    <s v="كاش"/>
    <s v="سرير كينج ابيض مقاس ٨٠ التصميم الجديد "/>
    <n v="11199"/>
    <n v="11310"/>
    <n v="14"/>
    <n v="0"/>
    <n v="45539"/>
    <n v="45553"/>
    <m/>
    <x v="1"/>
    <x v="0"/>
    <x v="1"/>
    <x v="0"/>
  </r>
  <r>
    <s v="احمد"/>
    <s v="القاهره الجديده"/>
    <x v="5"/>
    <x v="0"/>
    <s v="فردى"/>
    <x v="0"/>
    <s v="مسبق الدفع"/>
    <s v="٤سرير فردى خشب موسكى الحديد ابيض مقاس ٨٠"/>
    <n v="7987"/>
    <s v="مسبق الدفع"/>
    <n v="10"/>
    <n v="15"/>
    <n v="45541"/>
    <n v="45551"/>
    <n v="45556"/>
    <x v="0"/>
    <x v="0"/>
    <x v="0"/>
    <x v="0"/>
  </r>
  <r>
    <s v="تاكى"/>
    <s v="العباسيه"/>
    <x v="5"/>
    <x v="3"/>
    <s v="فنسيا"/>
    <x v="1"/>
    <s v="كاش"/>
    <s v="٢ فوتيه فنيسيا "/>
    <n v="9300"/>
    <n v="9300"/>
    <n v="11"/>
    <n v="13"/>
    <n v="45539"/>
    <n v="45550"/>
    <n v="45552"/>
    <x v="0"/>
    <x v="1"/>
    <x v="0"/>
    <x v="4"/>
  </r>
  <r>
    <s v="احمد"/>
    <s v="القاهره الجديده"/>
    <x v="5"/>
    <x v="0"/>
    <s v="فردى"/>
    <x v="0"/>
    <s v="مسبق الدفع"/>
    <s v="٤سرير فردى خشب موسكى الحديد ابيض مقاس ٨٠"/>
    <n v="7987"/>
    <s v="مسبق الدفع"/>
    <n v="10"/>
    <n v="15"/>
    <n v="45541"/>
    <n v="45551"/>
    <n v="45556"/>
    <x v="0"/>
    <x v="0"/>
    <x v="0"/>
    <x v="0"/>
  </r>
  <r>
    <s v="احمد"/>
    <s v="القاهره الجديده"/>
    <x v="5"/>
    <x v="0"/>
    <s v="فردى"/>
    <x v="0"/>
    <s v="مسبق الدفع"/>
    <s v="٤سرير فردى خشب موسكى الحديد ابيض مقاس ٨٠"/>
    <n v="7987"/>
    <s v="مسبق الدفع"/>
    <n v="10"/>
    <n v="15"/>
    <n v="45541"/>
    <n v="45551"/>
    <n v="45556"/>
    <x v="0"/>
    <x v="0"/>
    <x v="0"/>
    <x v="0"/>
  </r>
  <r>
    <s v="احمد"/>
    <s v="القاهره الجديده"/>
    <x v="5"/>
    <x v="0"/>
    <s v="فردى"/>
    <x v="0"/>
    <s v="مسبق الدفع"/>
    <s v="٤سرير فردى خشب موسكى الحديد ابيض مقاس ٨٠"/>
    <n v="7987"/>
    <s v="مسبق الدفع"/>
    <n v="10"/>
    <n v="15"/>
    <n v="45541"/>
    <n v="45551"/>
    <n v="45556"/>
    <x v="0"/>
    <x v="0"/>
    <x v="0"/>
    <x v="0"/>
  </r>
  <r>
    <s v="صفاء"/>
    <s v="المعادى"/>
    <x v="5"/>
    <x v="0"/>
    <s v="2 ميكانزم"/>
    <x v="1"/>
    <s v="مسبق الدفع"/>
    <s v="ترابيزه قهوه علويه جديده "/>
    <n v="8849"/>
    <s v="مسبق الدفع"/>
    <n v="43"/>
    <n v="0"/>
    <n v="45538"/>
    <n v="45581"/>
    <m/>
    <x v="1"/>
    <x v="0"/>
    <x v="1"/>
    <x v="1"/>
  </r>
  <r>
    <s v="حسن حازم"/>
    <s v="٦ اكتوبر الجيزه "/>
    <x v="0"/>
    <x v="0"/>
    <s v="فردى"/>
    <x v="0"/>
    <s v="مسبق الدفع"/>
    <s v="سرير اسبانى ابيض ١٢٠"/>
    <n v="10987"/>
    <s v="مسبق الدفع"/>
    <n v="8"/>
    <n v="12"/>
    <n v="45544"/>
    <n v="45552"/>
    <n v="45556"/>
    <x v="0"/>
    <x v="0"/>
    <x v="0"/>
    <x v="0"/>
  </r>
  <r>
    <s v="شيك هومز"/>
    <m/>
    <x v="4"/>
    <x v="1"/>
    <s v="دورين"/>
    <x v="0"/>
    <s v="كاش"/>
    <s v="سرير كينج ابيض "/>
    <n v="9208"/>
    <n v="5781.75"/>
    <n v="18"/>
    <n v="20"/>
    <n v="45536"/>
    <n v="45554"/>
    <n v="45556"/>
    <x v="0"/>
    <x v="1"/>
    <x v="0"/>
    <x v="0"/>
  </r>
  <r>
    <s v="شيك هومز"/>
    <m/>
    <x v="4"/>
    <x v="1"/>
    <s v="دورين"/>
    <x v="1"/>
    <s v="كاش"/>
    <s v="سرير كينج اسود "/>
    <n v="9208"/>
    <n v="1278.53"/>
    <n v="18"/>
    <n v="20"/>
    <n v="45536"/>
    <n v="45554"/>
    <n v="45556"/>
    <x v="0"/>
    <x v="1"/>
    <x v="0"/>
    <x v="0"/>
  </r>
  <r>
    <s v="اوسكار راتن"/>
    <s v="مخزن اوسكار في القناطر "/>
    <x v="6"/>
    <x v="4"/>
    <s v="فردى"/>
    <x v="0"/>
    <s v="حساب شركه"/>
    <s v="٢ سريرفورجينا خشب موسكى ابيض مقاس ١٢٠"/>
    <n v="4020"/>
    <s v="حساب شركه"/>
    <n v="9"/>
    <n v="10"/>
    <n v="45547"/>
    <n v="45556"/>
    <n v="45557"/>
    <x v="0"/>
    <x v="1"/>
    <x v="0"/>
    <x v="0"/>
  </r>
  <r>
    <s v="اوسكار راتن"/>
    <s v="مخزن اوسكار في القناطر "/>
    <x v="6"/>
    <x v="4"/>
    <s v="فردى"/>
    <x v="0"/>
    <s v="حساب شركه"/>
    <s v="٢ سريرفورجينا خشب موسكى ابيض مقاس ١٢٠"/>
    <n v="4020"/>
    <s v="حساب شركه"/>
    <n v="9"/>
    <n v="10"/>
    <n v="45547"/>
    <n v="45556"/>
    <n v="45557"/>
    <x v="0"/>
    <x v="1"/>
    <x v="0"/>
    <x v="0"/>
  </r>
  <r>
    <s v="اوسكار راتن"/>
    <s v="مخزن اوسكار في القناطر "/>
    <x v="6"/>
    <x v="4"/>
    <s v="فردى"/>
    <x v="1"/>
    <s v="مسبق الدفع "/>
    <s v="٢ سرير ارفيل ١٢٠ اسود "/>
    <n v="4020"/>
    <s v="مسبق الدفع "/>
    <n v="9"/>
    <n v="10"/>
    <n v="45547"/>
    <n v="45556"/>
    <n v="45557"/>
    <x v="0"/>
    <x v="1"/>
    <x v="0"/>
    <x v="0"/>
  </r>
  <r>
    <s v="اوسكار راتن"/>
    <s v="مخزن اوسكار في القناطر "/>
    <x v="6"/>
    <x v="4"/>
    <s v="فردى"/>
    <x v="1"/>
    <s v="مسبق الدفع "/>
    <s v="٢ سرير ارفيل ١٢٠ اسود "/>
    <n v="4020"/>
    <s v="مسبق الدفع "/>
    <n v="9"/>
    <n v="10"/>
    <n v="45547"/>
    <n v="45556"/>
    <n v="45557"/>
    <x v="0"/>
    <x v="1"/>
    <x v="0"/>
    <x v="0"/>
  </r>
  <r>
    <s v="صفاء الحكيم"/>
    <s v="العين السخنه"/>
    <x v="7"/>
    <x v="0"/>
    <s v="منطبق"/>
    <x v="1"/>
    <s v="مسبق الدفع "/>
    <s v="سرير منطببق اسود وقماش اسود"/>
    <n v="9399"/>
    <s v="مسبق الدفع "/>
    <n v="8"/>
    <n v="0"/>
    <n v="45549"/>
    <n v="45557"/>
    <m/>
    <x v="1"/>
    <x v="0"/>
    <x v="1"/>
    <x v="0"/>
  </r>
  <r>
    <s v="يوسف شناوى"/>
    <s v="الابراهيميه . الإسكندرية "/>
    <x v="1"/>
    <x v="0"/>
    <s v="رف سحاب"/>
    <x v="1"/>
    <s v="مسبق الدفع "/>
    <s v="ترابيزه قهوه علويه برف سحاب "/>
    <n v="8349"/>
    <s v="مسبق الدفع "/>
    <n v="8"/>
    <n v="10"/>
    <n v="45549"/>
    <n v="45557"/>
    <n v="45559"/>
    <x v="0"/>
    <x v="0"/>
    <x v="0"/>
    <x v="1"/>
  </r>
  <r>
    <s v="حاتم العيسوي"/>
    <s v="٦ اكتوبر الجيزه "/>
    <x v="0"/>
    <x v="0"/>
    <s v="منطبق"/>
    <x v="1"/>
    <s v="مسبق الدفع"/>
    <s v="سرير منطبق اسود حديد وقماش"/>
    <n v="9399"/>
    <s v="مسبق الدفع"/>
    <n v="11"/>
    <n v="17"/>
    <n v="45548"/>
    <n v="45559"/>
    <n v="45565"/>
    <x v="0"/>
    <x v="0"/>
    <x v="0"/>
    <x v="0"/>
  </r>
  <r>
    <s v="رنا"/>
    <s v="القطاميه "/>
    <x v="5"/>
    <x v="0"/>
    <s v="2 ميكانزم"/>
    <x v="1"/>
    <s v="كاش"/>
    <s v="ترابيزه قهوه علويه جديده "/>
    <n v="7849"/>
    <n v="7928"/>
    <n v="14"/>
    <n v="0"/>
    <n v="45547"/>
    <n v="45561"/>
    <m/>
    <x v="0"/>
    <x v="0"/>
    <x v="1"/>
    <x v="1"/>
  </r>
  <r>
    <s v="عبير نور الدين"/>
    <s v="١٨ شارع البحيري بولاق الدكرور الجيزه "/>
    <x v="0"/>
    <x v="2"/>
    <s v="ثلاثه ادوار"/>
    <x v="1"/>
    <s v="كاش"/>
    <s v="سرير ٣ ادورا اسود مقاس 100 "/>
    <n v="9450"/>
    <n v="9450"/>
    <n v="14"/>
    <n v="0"/>
    <n v="45547"/>
    <n v="45561"/>
    <m/>
    <x v="1"/>
    <x v="0"/>
    <x v="1"/>
    <x v="0"/>
  </r>
  <r>
    <s v="اسراء ابو العنين"/>
    <s v="القاهره الجديده"/>
    <x v="5"/>
    <x v="0"/>
    <s v="فردى"/>
    <x v="1"/>
    <s v="مسبق الدفع"/>
    <s v="سرير اسبانى اسود مقاس ١٢٠"/>
    <n v="7460"/>
    <s v="مسبق الدفع"/>
    <n v="13"/>
    <n v="20"/>
    <n v="45548"/>
    <n v="45561"/>
    <n v="45568"/>
    <x v="0"/>
    <x v="0"/>
    <x v="0"/>
    <x v="0"/>
  </r>
  <r>
    <s v="وائل صادق"/>
    <s v="القاهره الجديده"/>
    <x v="5"/>
    <x v="0"/>
    <s v="فردى"/>
    <x v="5"/>
    <s v="مسبق الدفع"/>
    <s v="سرير كوين مقاس ١٤٠ دهبي ورمادى "/>
    <n v="9528"/>
    <s v="مسبق الدفع"/>
    <n v="13"/>
    <n v="20"/>
    <n v="45548"/>
    <n v="45561"/>
    <n v="45568"/>
    <x v="0"/>
    <x v="0"/>
    <x v="0"/>
    <x v="0"/>
  </r>
  <r>
    <s v="حسن مغرب"/>
    <s v="٦ اكتوبر الجيزه "/>
    <x v="0"/>
    <x v="0"/>
    <s v="دورين"/>
    <x v="3"/>
    <s v="مسبق الدفع"/>
    <s v="سرير كيفنج ١٢٠ رمادى "/>
    <n v="12999"/>
    <s v="مسبق الدفع"/>
    <n v="13"/>
    <n v="18"/>
    <n v="45549"/>
    <n v="45562"/>
    <n v="45567"/>
    <x v="0"/>
    <x v="0"/>
    <x v="0"/>
    <x v="0"/>
  </r>
  <r>
    <s v="على السيد"/>
    <s v="الشروق القاهره "/>
    <x v="5"/>
    <x v="0"/>
    <s v="دورين"/>
    <x v="1"/>
    <s v="مسبق الدفع"/>
    <s v="سرير نوفال  ٩٠ اسود "/>
    <n v="5999"/>
    <s v="مسبق الدفع"/>
    <n v="17"/>
    <n v="0"/>
    <n v="45547"/>
    <n v="45564"/>
    <m/>
    <x v="1"/>
    <x v="0"/>
    <x v="1"/>
    <x v="0"/>
  </r>
  <r>
    <s v="هشام بسيونى"/>
    <s v="حدايق الاهرام "/>
    <x v="0"/>
    <x v="0"/>
    <s v="دورين"/>
    <x v="1"/>
    <s v="كاش"/>
    <s v="            ٢ سرير كيفنج 100 اسود "/>
    <n v="11949"/>
    <n v="10749"/>
    <n v="17"/>
    <n v="20"/>
    <n v="45547"/>
    <n v="45564"/>
    <n v="45567"/>
    <x v="0"/>
    <x v="0"/>
    <x v="0"/>
    <x v="0"/>
  </r>
  <r>
    <s v="هشام بسيونى"/>
    <s v="حدايق الاهرام "/>
    <x v="0"/>
    <x v="0"/>
    <s v="دورين"/>
    <x v="1"/>
    <s v="كاش"/>
    <s v="            ٢ سرير كيفنج 100 اسود "/>
    <n v="11949"/>
    <n v="10749"/>
    <n v="17"/>
    <n v="20"/>
    <n v="45547"/>
    <n v="45564"/>
    <n v="45567"/>
    <x v="0"/>
    <x v="0"/>
    <x v="0"/>
    <x v="0"/>
  </r>
  <r>
    <s v="احمد"/>
    <s v="الشروق"/>
    <x v="5"/>
    <x v="0"/>
    <s v="ثلاثه ادوار"/>
    <x v="0"/>
    <s v="مسبق الدفع"/>
    <s v="سرير ٣ ادوار ابيض مقاس ٨٠ ابيض "/>
    <n v="16599"/>
    <s v="مسبق الدفع"/>
    <n v="17"/>
    <n v="20"/>
    <n v="45548"/>
    <n v="45565"/>
    <n v="45568"/>
    <x v="0"/>
    <x v="0"/>
    <x v="0"/>
    <x v="0"/>
  </r>
  <r>
    <s v="ساره وجيه"/>
    <s v="الغردقه "/>
    <x v="3"/>
    <x v="0"/>
    <s v="دورين"/>
    <x v="0"/>
    <s v="مسبق الدفع"/>
    <s v="سرير كيفنج دورين مقاس ٨٠ ابيض "/>
    <n v="10999"/>
    <s v="مسبق الدفع"/>
    <n v="17"/>
    <n v="33"/>
    <n v="45548"/>
    <n v="45565"/>
    <n v="45581"/>
    <x v="0"/>
    <x v="0"/>
    <x v="0"/>
    <x v="0"/>
  </r>
  <r>
    <s v="مها"/>
    <s v="لافيستا العين السخنه "/>
    <x v="7"/>
    <x v="0"/>
    <s v="دورين"/>
    <x v="2"/>
    <s v="مسبق الدفع"/>
    <s v="سرير استيل ازرق مقاس ١٤٠"/>
    <n v="13099"/>
    <s v="مسبق الدفع"/>
    <n v="17"/>
    <n v="20"/>
    <n v="45548"/>
    <n v="45565"/>
    <n v="45568"/>
    <x v="0"/>
    <x v="0"/>
    <x v="0"/>
    <x v="0"/>
  </r>
  <r>
    <s v="بسام الشربينى"/>
    <s v="٦ اكتوبر الجيزه "/>
    <x v="0"/>
    <x v="0"/>
    <s v="دورين"/>
    <x v="6"/>
    <s v="مسبق الدفع"/>
    <s v="سرير كينج ١٢٠ بنفسجى "/>
    <n v="13849"/>
    <s v="مسبق الدفع"/>
    <n v="17"/>
    <n v="37"/>
    <n v="45548"/>
    <n v="45565"/>
    <n v="45585"/>
    <x v="0"/>
    <x v="0"/>
    <x v="0"/>
    <x v="0"/>
  </r>
  <r>
    <s v="هبه عبد الفتاح"/>
    <s v="القاهره الجديده "/>
    <x v="5"/>
    <x v="0"/>
    <s v="4*1"/>
    <x v="1"/>
    <s v="مسبق الدفع"/>
    <s v="كنبه سرير ٤ حركه "/>
    <n v="21999"/>
    <s v="مسبق الدفع"/>
    <n v="17"/>
    <n v="0"/>
    <n v="45548"/>
    <n v="45565"/>
    <m/>
    <x v="0"/>
    <x v="0"/>
    <x v="1"/>
    <x v="2"/>
  </r>
  <r>
    <s v="اسراء ابراهيم"/>
    <s v="٦ اكتوبر الجيزه "/>
    <x v="0"/>
    <x v="0"/>
    <s v="دورين"/>
    <x v="0"/>
    <s v="مسبق الدفع"/>
    <s v="سرير كيفنج دورين مقاس ٨٠ ابيض "/>
    <n v="10999"/>
    <s v="مسبق الدفع"/>
    <n v="17"/>
    <n v="32"/>
    <n v="45548"/>
    <n v="45565"/>
    <n v="45580"/>
    <x v="0"/>
    <x v="0"/>
    <x v="0"/>
    <x v="0"/>
  </r>
  <r>
    <s v="طارق كمال"/>
    <s v="المعادى"/>
    <x v="5"/>
    <x v="0"/>
    <s v="ثلاثه ادوار"/>
    <x v="1"/>
    <s v="مسبق الدفع"/>
    <s v="سرير ٣ ادوار اسود مقاس ٩٠ "/>
    <n v="17249"/>
    <s v="مسبق الدفع"/>
    <n v="17"/>
    <n v="21"/>
    <n v="45548"/>
    <n v="45565"/>
    <n v="45569"/>
    <x v="0"/>
    <x v="0"/>
    <x v="0"/>
    <x v="0"/>
  </r>
  <r>
    <s v="ديفد بهجت"/>
    <s v="فيصل الجيزه"/>
    <x v="0"/>
    <x v="0"/>
    <s v="2 ميكانزم"/>
    <x v="1"/>
    <s v="مسبق الدفع"/>
    <s v="ترابيزه قهوه ٢ رافع"/>
    <n v="8349"/>
    <s v="مسبق الدفع"/>
    <n v="32"/>
    <n v="37"/>
    <n v="45549"/>
    <n v="45581"/>
    <n v="45586"/>
    <x v="0"/>
    <x v="0"/>
    <x v="0"/>
    <x v="1"/>
  </r>
  <r>
    <s v="اياد"/>
    <s v="المقطم "/>
    <x v="5"/>
    <x v="0"/>
    <s v="بمكتبة"/>
    <x v="2"/>
    <s v="مسبق الدفع"/>
    <s v="ترابيزه قهوه متحركه "/>
    <n v="7849"/>
    <s v="مسبق الدفع"/>
    <n v="45"/>
    <n v="46"/>
    <n v="45549"/>
    <n v="45594"/>
    <n v="45595"/>
    <x v="0"/>
    <x v="0"/>
    <x v="0"/>
    <x v="1"/>
  </r>
  <r>
    <s v="ميار خورشد"/>
    <s v="٦ اكتوبر الجيزه "/>
    <x v="0"/>
    <x v="0"/>
    <s v="منطبق"/>
    <x v="1"/>
    <s v="مسبق الدفع "/>
    <s v="سرير منطبق اسود حديد ومعدن "/>
    <n v="9399"/>
    <s v="مسبق الدفع "/>
    <n v="45"/>
    <n v="31"/>
    <n v="45549"/>
    <n v="45594"/>
    <n v="45580"/>
    <x v="0"/>
    <x v="0"/>
    <x v="1"/>
    <x v="0"/>
  </r>
  <r>
    <s v="عبد الله سيد"/>
    <s v="الشيخ زايد ٦ اكتوبر "/>
    <x v="0"/>
    <x v="0"/>
    <s v="فردى"/>
    <x v="1"/>
    <s v="مسبق الدفع "/>
    <s v="سرير اسبانى  ١٤٠ اسود وبيج "/>
    <n v="11817"/>
    <s v="مسبق الدفع "/>
    <n v="45"/>
    <n v="31"/>
    <n v="45549"/>
    <n v="45594"/>
    <n v="45580"/>
    <x v="0"/>
    <x v="0"/>
    <x v="1"/>
    <x v="0"/>
  </r>
  <r>
    <s v="كينج سونا"/>
    <s v="الشروق"/>
    <x v="5"/>
    <x v="0"/>
    <s v="رف سحاب"/>
    <x v="2"/>
    <s v="مسبق الدفع "/>
    <s v="ترابيزه قهوه مرتفعه برف سحاب "/>
    <n v="8349"/>
    <s v="مسبق الدفع "/>
    <n v="45"/>
    <n v="35"/>
    <n v="45549"/>
    <n v="45594"/>
    <n v="45584"/>
    <x v="0"/>
    <x v="0"/>
    <x v="1"/>
    <x v="1"/>
  </r>
  <r>
    <s v="احمد خالد"/>
    <s v="الرحاب"/>
    <x v="5"/>
    <x v="0"/>
    <s v="فردى"/>
    <x v="0"/>
    <s v="مسبق الدفع "/>
    <s v=" ٢. سرير فورجينا ابيض مقاس ١٢٠"/>
    <n v="17886"/>
    <s v="مسبق الدفع "/>
    <n v="45"/>
    <n v="0"/>
    <n v="45549"/>
    <n v="45594"/>
    <m/>
    <x v="1"/>
    <x v="0"/>
    <x v="1"/>
    <x v="0"/>
  </r>
  <r>
    <s v="احمد خالد"/>
    <s v="الرحاب"/>
    <x v="5"/>
    <x v="0"/>
    <s v="فردى"/>
    <x v="0"/>
    <s v="مسبق الدفع "/>
    <s v=" ٢. سرير فورجينا ابيض مقاس ١٢٠"/>
    <n v="17886"/>
    <s v="مسبق الدفع "/>
    <n v="45"/>
    <n v="0"/>
    <n v="45549"/>
    <n v="45594"/>
    <m/>
    <x v="1"/>
    <x v="0"/>
    <x v="1"/>
    <x v="0"/>
  </r>
  <r>
    <s v="ساره"/>
    <s v="القاهره الجديده"/>
    <x v="5"/>
    <x v="0"/>
    <s v="فردى"/>
    <x v="0"/>
    <s v="مسبق الدفع"/>
    <s v="   ٢. سرير اسبانى ابيض ١٢٠"/>
    <n v="10987"/>
    <s v="مسبق الدفع"/>
    <n v="45"/>
    <n v="29"/>
    <n v="45549"/>
    <n v="45594"/>
    <n v="45578"/>
    <x v="0"/>
    <x v="0"/>
    <x v="1"/>
    <x v="0"/>
  </r>
  <r>
    <s v="ساره"/>
    <s v="القاهره الجديده"/>
    <x v="5"/>
    <x v="0"/>
    <s v="فردى"/>
    <x v="0"/>
    <s v="مسبق الدفع"/>
    <s v="   ٢. سرير اسبانى ابيض ١٢٠"/>
    <n v="10987"/>
    <s v="مسبق الدفع"/>
    <n v="45"/>
    <n v="29"/>
    <n v="45549"/>
    <n v="45594"/>
    <n v="45578"/>
    <x v="0"/>
    <x v="0"/>
    <x v="1"/>
    <x v="0"/>
  </r>
  <r>
    <s v="احمد ايمن"/>
    <s v="العبور"/>
    <x v="5"/>
    <x v="0"/>
    <s v="2 ميكانزم"/>
    <x v="2"/>
    <s v="مسبق الدفع"/>
    <s v="ترابيزه قهوه علويه جديده "/>
    <n v="10319"/>
    <s v="مسبق الدفع"/>
    <n v="45"/>
    <n v="35"/>
    <n v="45549"/>
    <n v="45594"/>
    <n v="45584"/>
    <x v="0"/>
    <x v="0"/>
    <x v="1"/>
    <x v="1"/>
  </r>
  <r>
    <s v="مصطفي غنيم"/>
    <s v="اسيوط "/>
    <x v="8"/>
    <x v="0"/>
    <s v="دورين"/>
    <x v="3"/>
    <s v="مسبق الدفع "/>
    <s v="سرير كيفنج دورين مقاس ١٢٠ رمادى "/>
    <n v="12999"/>
    <s v="مسبق الدفع "/>
    <n v="67"/>
    <n v="33"/>
    <n v="45549"/>
    <n v="45616"/>
    <n v="45582"/>
    <x v="0"/>
    <x v="0"/>
    <x v="1"/>
    <x v="0"/>
  </r>
  <r>
    <s v="حسام عبدون"/>
    <s v="الغردقه"/>
    <x v="3"/>
    <x v="0"/>
    <s v="4*1"/>
    <x v="1"/>
    <s v="مسبق الدفع"/>
    <s v="كنبه سرير ٤ حركه "/>
    <n v="21999"/>
    <s v="مسبق الدفع"/>
    <n v="67"/>
    <n v="0"/>
    <n v="45549"/>
    <n v="45616"/>
    <m/>
    <x v="1"/>
    <x v="0"/>
    <x v="1"/>
    <x v="2"/>
  </r>
  <r>
    <s v="رامى"/>
    <s v="الشروق"/>
    <x v="5"/>
    <x v="0"/>
    <s v="دورين"/>
    <x v="3"/>
    <s v="مسبق الدفع"/>
    <s v="سرير نوفال 100 رمادى "/>
    <n v="12399"/>
    <s v="مسبق الدفع"/>
    <n v="67"/>
    <n v="17"/>
    <n v="45549"/>
    <n v="45616"/>
    <n v="45566"/>
    <x v="0"/>
    <x v="0"/>
    <x v="1"/>
    <x v="0"/>
  </r>
  <r>
    <s v="رحاب"/>
    <s v="القاهره الجديده"/>
    <x v="5"/>
    <x v="0"/>
    <s v="4*1"/>
    <x v="1"/>
    <s v="مسبق الدفع"/>
    <s v="كنبه سرير ٤ حركه "/>
    <n v="21999"/>
    <s v="مسبق الدفع"/>
    <n v="67"/>
    <n v="25"/>
    <n v="45549"/>
    <n v="45616"/>
    <n v="45574"/>
    <x v="0"/>
    <x v="0"/>
    <x v="1"/>
    <x v="2"/>
  </r>
  <r>
    <s v="فؤاد المنسي"/>
    <s v="المقطم "/>
    <x v="5"/>
    <x v="0"/>
    <s v="دورين"/>
    <x v="0"/>
    <s v="مسبق الدفع "/>
    <s v="سرير نوفال مقاس ٨٠ ابيض "/>
    <n v="10999"/>
    <s v="مسبق الدفع "/>
    <n v="67"/>
    <n v="32"/>
    <n v="45549"/>
    <n v="45616"/>
    <n v="45581"/>
    <x v="0"/>
    <x v="0"/>
    <x v="1"/>
    <x v="0"/>
  </r>
  <r>
    <s v="محمد"/>
    <s v="EL-Maadi"/>
    <x v="5"/>
    <x v="0"/>
    <s v="دورين"/>
    <x v="0"/>
    <s v="مسبق الدفع "/>
    <s v="سرير نوفال 100 رمادى "/>
    <n v="10999"/>
    <s v="مسبق الدفع "/>
    <n v="66"/>
    <n v="31"/>
    <n v="45550"/>
    <n v="45616"/>
    <n v="45581"/>
    <x v="0"/>
    <x v="0"/>
    <x v="1"/>
    <x v="0"/>
  </r>
  <r>
    <s v="محمد"/>
    <s v="EL-Maadi"/>
    <x v="5"/>
    <x v="0"/>
    <s v="دورين"/>
    <x v="0"/>
    <s v="مسبق الدفع "/>
    <s v="سرير نوفال 100 رمادى "/>
    <n v="10999"/>
    <s v="مسبق الدفع "/>
    <n v="66"/>
    <n v="31"/>
    <n v="45550"/>
    <n v="45616"/>
    <n v="45581"/>
    <x v="0"/>
    <x v="0"/>
    <x v="1"/>
    <x v="0"/>
  </r>
  <r>
    <s v="محمد ايمن"/>
    <s v="Madinet Badr"/>
    <x v="5"/>
    <x v="0"/>
    <s v="4*1"/>
    <x v="1"/>
    <s v="مسبق الدفع "/>
    <s v="كنبه سرير ٤ حركه "/>
    <n v="21999"/>
    <s v="مسبق الدفع "/>
    <n v="66"/>
    <n v="34"/>
    <n v="45550"/>
    <n v="45616"/>
    <n v="45584"/>
    <x v="0"/>
    <x v="0"/>
    <x v="1"/>
    <x v="2"/>
  </r>
  <r>
    <s v="اسامه"/>
    <s v="العين السخنه"/>
    <x v="7"/>
    <x v="0"/>
    <s v="2 ميكانزم"/>
    <x v="2"/>
    <s v="كاش"/>
    <s v="ترابيزه قهوه علويه جديده "/>
    <n v="7849"/>
    <n v="6306"/>
    <n v="44"/>
    <n v="59"/>
    <n v="45551"/>
    <n v="45595"/>
    <n v="45610"/>
    <x v="0"/>
    <x v="0"/>
    <x v="0"/>
    <x v="1"/>
  </r>
  <r>
    <s v="اوسكار راتن"/>
    <s v="المخزن ابو الغيط "/>
    <x v="6"/>
    <x v="4"/>
    <s v="دورين"/>
    <x v="0"/>
    <s v="حساب شركه"/>
    <s v=" ٢. سرير فورجينا ابيض مقاس ١٢٠"/>
    <n v="5074"/>
    <s v="حساب شركه"/>
    <n v="14"/>
    <n v="21"/>
    <n v="45556"/>
    <n v="45570"/>
    <n v="45577"/>
    <x v="0"/>
    <x v="1"/>
    <x v="0"/>
    <x v="0"/>
  </r>
  <r>
    <s v="تاكى"/>
    <s v="العباسيه"/>
    <x v="5"/>
    <x v="3"/>
    <s v="دورين"/>
    <x v="7"/>
    <s v="حساب شركه"/>
    <s v="سرير منطبق اسود حديد ومعدن "/>
    <n v="6250"/>
    <s v="حساب شركه"/>
    <n v="15"/>
    <n v="24"/>
    <n v="45558"/>
    <n v="45573"/>
    <n v="45582"/>
    <x v="0"/>
    <x v="1"/>
    <x v="0"/>
    <x v="0"/>
  </r>
  <r>
    <s v="تاكى"/>
    <s v="العباسيه"/>
    <x v="5"/>
    <x v="3"/>
    <s v="دورين"/>
    <x v="7"/>
    <s v="حساب شركه"/>
    <s v="سرير منطبق اسود حديد ومعدن "/>
    <n v="6250"/>
    <s v="حساب شركه"/>
    <n v="15"/>
    <n v="24"/>
    <n v="45558"/>
    <n v="45573"/>
    <n v="45582"/>
    <x v="0"/>
    <x v="1"/>
    <x v="0"/>
    <x v="0"/>
  </r>
  <r>
    <s v="ولاء بدوى"/>
    <s v="العباسيه"/>
    <x v="5"/>
    <x v="0"/>
    <s v="فردى"/>
    <x v="0"/>
    <s v="كاش"/>
    <s v="سرير منطبق اسود حديد ومعدن "/>
    <n v="8943"/>
    <n v="9033"/>
    <n v="45"/>
    <n v="14"/>
    <n v="45561"/>
    <n v="45606"/>
    <n v="45575"/>
    <x v="0"/>
    <x v="0"/>
    <x v="1"/>
    <x v="0"/>
  </r>
  <r>
    <s v="عبد الرحمن يسري"/>
    <s v="اكتوبر الجيزه"/>
    <x v="0"/>
    <x v="0"/>
    <s v="رف سحاب"/>
    <x v="2"/>
    <s v="كاش"/>
    <s v="ترابيزه قهوه علويه جديده "/>
    <n v="8349"/>
    <n v="8433"/>
    <n v="45"/>
    <n v="0"/>
    <n v="45561"/>
    <n v="45606"/>
    <m/>
    <x v="1"/>
    <x v="0"/>
    <x v="1"/>
    <x v="1"/>
  </r>
  <r>
    <s v="شيك هومز"/>
    <s v="التجمع"/>
    <x v="5"/>
    <x v="1"/>
    <s v="4×1"/>
    <x v="2"/>
    <s v="مسبق الدفع"/>
    <s v="كنبه سرير ٤ حركه "/>
    <n v="14950"/>
    <s v="مسبق الدفع"/>
    <n v="18"/>
    <n v="17"/>
    <n v="45561"/>
    <n v="45579"/>
    <n v="45578"/>
    <x v="0"/>
    <x v="1"/>
    <x v="1"/>
    <x v="2"/>
  </r>
  <r>
    <s v="شيك هومز"/>
    <m/>
    <x v="4"/>
    <x v="1"/>
    <s v="دورين"/>
    <x v="1"/>
    <s v="كاش"/>
    <s v="سرير ٣ ادوار ابيض مقاس ٨٠ ابيض "/>
    <n v="9208"/>
    <n v="9608"/>
    <n v="18"/>
    <n v="0"/>
    <n v="45561"/>
    <n v="45579"/>
    <m/>
    <x v="1"/>
    <x v="1"/>
    <x v="1"/>
    <x v="0"/>
  </r>
  <r>
    <s v="شيك هومز"/>
    <m/>
    <x v="4"/>
    <x v="1"/>
    <s v="فردى"/>
    <x v="0"/>
    <s v="مسبق الدفع"/>
    <s v="سرير ٣ ادوار ابيض مقاس ٨٠ ابيض "/>
    <n v="7433"/>
    <s v="مسبق الدفع"/>
    <n v="21"/>
    <n v="22"/>
    <n v="45564"/>
    <n v="45585"/>
    <n v="45586"/>
    <x v="0"/>
    <x v="1"/>
    <x v="0"/>
    <x v="0"/>
  </r>
  <r>
    <s v="اوسكار راتن"/>
    <s v="المخزن ابو الغيط "/>
    <x v="6"/>
    <x v="4"/>
    <s v="فردى"/>
    <x v="0"/>
    <s v="حساب شركه"/>
    <s v="سرير ٣ ادوار ابيض مقاس ٨٠ ابيض "/>
    <n v="4020"/>
    <s v="حساب شركه"/>
    <n v="13"/>
    <n v="13"/>
    <n v="45564"/>
    <n v="45577"/>
    <n v="45577"/>
    <x v="0"/>
    <x v="1"/>
    <x v="1"/>
    <x v="0"/>
  </r>
  <r>
    <s v="الحج محمد السويس"/>
    <s v="السويس "/>
    <x v="7"/>
    <x v="5"/>
    <s v="دورين"/>
    <x v="8"/>
    <n v="0"/>
    <s v="سرير كينج ابيض "/>
    <n v="8544.9054400000005"/>
    <m/>
    <n v="8"/>
    <n v="8"/>
    <n v="45566"/>
    <n v="45574"/>
    <n v="45574"/>
    <x v="0"/>
    <x v="0"/>
    <x v="1"/>
    <x v="0"/>
  </r>
  <r>
    <s v="الحج محمد السويس"/>
    <s v="السويس "/>
    <x v="7"/>
    <x v="5"/>
    <s v="منطبق"/>
    <x v="1"/>
    <n v="0"/>
    <s v="سرير كينج ابيض "/>
    <n v="4600"/>
    <m/>
    <n v="8"/>
    <n v="8"/>
    <n v="45566"/>
    <n v="45574"/>
    <n v="45574"/>
    <x v="0"/>
    <x v="0"/>
    <x v="1"/>
    <x v="0"/>
  </r>
  <r>
    <s v="الحج محمد السويس"/>
    <s v="السويس "/>
    <x v="7"/>
    <x v="5"/>
    <s v="فنيسيا"/>
    <x v="1"/>
    <n v="0"/>
    <s v="سرير كينج ابيض "/>
    <n v="10000"/>
    <m/>
    <n v="8"/>
    <n v="8"/>
    <n v="45566"/>
    <n v="45574"/>
    <n v="45574"/>
    <x v="0"/>
    <x v="0"/>
    <x v="1"/>
    <x v="2"/>
  </r>
  <r>
    <s v="الحج محمد السويس"/>
    <s v="السويس "/>
    <x v="7"/>
    <x v="5"/>
    <m/>
    <x v="1"/>
    <n v="0"/>
    <s v="سرير كينج ابيض "/>
    <n v="10000"/>
    <m/>
    <n v="8"/>
    <n v="8"/>
    <n v="45566"/>
    <n v="45574"/>
    <n v="45574"/>
    <x v="0"/>
    <x v="0"/>
    <x v="1"/>
    <x v="5"/>
  </r>
  <r>
    <s v="عمرو الأسود"/>
    <s v="الزمالك"/>
    <x v="5"/>
    <x v="0"/>
    <s v="منطبق"/>
    <x v="1"/>
    <s v="كاش"/>
    <s v="سرير كينج اسود "/>
    <n v="8899"/>
    <n v="8988"/>
    <n v="45"/>
    <n v="0"/>
    <n v="45568"/>
    <n v="45613"/>
    <m/>
    <x v="1"/>
    <x v="0"/>
    <x v="1"/>
    <x v="0"/>
  </r>
  <r>
    <s v="شيك هومز"/>
    <s v="مخزن شيك هومز"/>
    <x v="9"/>
    <x v="1"/>
    <s v="4×1"/>
    <x v="1"/>
    <s v="مسبق الدفع"/>
    <m/>
    <n v="14550"/>
    <s v="مسبق الدفع"/>
    <n v="21"/>
    <n v="22"/>
    <n v="45573"/>
    <n v="45594"/>
    <n v="45595"/>
    <x v="0"/>
    <x v="1"/>
    <x v="0"/>
    <x v="2"/>
  </r>
  <r>
    <s v="شيك هومز"/>
    <s v="أكتوبر "/>
    <x v="9"/>
    <x v="1"/>
    <s v="4×1"/>
    <x v="1"/>
    <s v="مسبق الدفع"/>
    <m/>
    <n v="14550"/>
    <s v="مسبق الدفع"/>
    <n v="22"/>
    <n v="8"/>
    <n v="45572"/>
    <n v="45594"/>
    <n v="45580"/>
    <x v="0"/>
    <x v="1"/>
    <x v="1"/>
    <x v="2"/>
  </r>
  <r>
    <s v="شيك هومز"/>
    <m/>
    <x v="4"/>
    <x v="1"/>
    <s v="4×1"/>
    <x v="1"/>
    <s v="كاش"/>
    <m/>
    <n v="14550"/>
    <n v="11495"/>
    <n v="21"/>
    <n v="23"/>
    <n v="45575"/>
    <n v="45596"/>
    <n v="45598"/>
    <x v="0"/>
    <x v="1"/>
    <x v="0"/>
    <x v="2"/>
  </r>
  <r>
    <s v="فاطمه محمد"/>
    <s v="القاهره الجديده "/>
    <x v="5"/>
    <x v="0"/>
    <s v="دورين"/>
    <x v="9"/>
    <s v="كاش"/>
    <s v="سرير كينج ابيض "/>
    <n v="12899"/>
    <n v="13028"/>
    <n v="65"/>
    <n v="20"/>
    <n v="45578"/>
    <n v="45643"/>
    <n v="45598"/>
    <x v="0"/>
    <x v="0"/>
    <x v="1"/>
    <x v="0"/>
  </r>
  <r>
    <s v="طارق كمال"/>
    <s v="مصر الجديده"/>
    <x v="5"/>
    <x v="0"/>
    <s v="دورين"/>
    <x v="0"/>
    <s v="مسبق الدفع"/>
    <s v="سرير كينج ابيض "/>
    <n v="10499"/>
    <s v="مسبق الدفع"/>
    <n v="64"/>
    <n v="5"/>
    <n v="45581"/>
    <n v="45645"/>
    <n v="45586"/>
    <x v="0"/>
    <x v="0"/>
    <x v="1"/>
    <x v="0"/>
  </r>
  <r>
    <s v="ريم"/>
    <s v="البطاش اسكندريه"/>
    <x v="1"/>
    <x v="0"/>
    <s v="دورين"/>
    <x v="9"/>
    <s v="مسبق الدفع"/>
    <s v="سرير كينج ابيض "/>
    <n v="12899"/>
    <s v="مسبق الدفع"/>
    <n v="66"/>
    <n v="47"/>
    <n v="45582"/>
    <n v="45648"/>
    <n v="45629"/>
    <x v="0"/>
    <x v="0"/>
    <x v="1"/>
    <x v="0"/>
  </r>
  <r>
    <s v="هشام سامى"/>
    <s v="41 كومبوند جولدن جستس الدور 4 شقه 4"/>
    <x v="5"/>
    <x v="6"/>
    <s v="فردى"/>
    <x v="10"/>
    <s v="مسبق الدفع"/>
    <s v="سرير كينج بني فاتح"/>
    <n v="5135"/>
    <s v="مسبق الدفع"/>
    <n v="28"/>
    <n v="25"/>
    <n v="45585"/>
    <n v="45613"/>
    <n v="45610"/>
    <x v="0"/>
    <x v="0"/>
    <x v="1"/>
    <x v="0"/>
  </r>
  <r>
    <s v="شيك هومز"/>
    <s v="اكتوبر الجيزه"/>
    <x v="0"/>
    <x v="1"/>
    <s v="دورين"/>
    <x v="8"/>
    <s v="كاش"/>
    <s v="سرير كينج ابيض "/>
    <n v="12777.5"/>
    <n v="11277.5"/>
    <n v="21"/>
    <n v="27"/>
    <n v="45587"/>
    <n v="45608"/>
    <n v="45614"/>
    <x v="0"/>
    <x v="1"/>
    <x v="0"/>
    <x v="0"/>
  </r>
  <r>
    <s v="شيك هومز"/>
    <s v="اكتوبر الجيزه"/>
    <x v="0"/>
    <x v="1"/>
    <s v="دورين"/>
    <x v="8"/>
    <s v="كاش"/>
    <s v="سرير كينج ابيض "/>
    <n v="12777.5"/>
    <n v="11277.5"/>
    <n v="21"/>
    <n v="27"/>
    <n v="45587"/>
    <n v="45608"/>
    <n v="45614"/>
    <x v="0"/>
    <x v="1"/>
    <x v="0"/>
    <x v="0"/>
  </r>
  <r>
    <s v="اوسكار راتن"/>
    <s v="المعرض مدينه نصر"/>
    <x v="5"/>
    <x v="4"/>
    <s v="دورين"/>
    <x v="8"/>
    <s v="حساب شركه"/>
    <s v="سرير كينج ابيض "/>
    <n v="8544.91"/>
    <s v="حساب شركه"/>
    <n v="0"/>
    <n v="0"/>
    <n v="45587"/>
    <m/>
    <m/>
    <x v="1"/>
    <x v="1"/>
    <x v="1"/>
    <x v="0"/>
  </r>
  <r>
    <s v="فاطمه محمد"/>
    <s v="أكتوبر الجيزه"/>
    <x v="0"/>
    <x v="0"/>
    <s v="فردى"/>
    <x v="0"/>
    <s v="كاش"/>
    <s v="سرير كينج ابيض "/>
    <n v="8943"/>
    <n v="9007.01"/>
    <n v="24"/>
    <n v="28"/>
    <n v="45586"/>
    <n v="45610"/>
    <n v="45614"/>
    <x v="0"/>
    <x v="0"/>
    <x v="0"/>
    <x v="0"/>
  </r>
  <r>
    <s v="شيك هومز"/>
    <m/>
    <x v="4"/>
    <x v="1"/>
    <s v="4×1"/>
    <x v="1"/>
    <s v="مسبق الدفع"/>
    <s v="كنبه سرير ٤ حركه "/>
    <n v="15516"/>
    <s v="مسبق الدفع"/>
    <n v="21"/>
    <n v="6"/>
    <n v="45589"/>
    <n v="45610"/>
    <n v="45595"/>
    <x v="0"/>
    <x v="1"/>
    <x v="1"/>
    <x v="2"/>
  </r>
  <r>
    <s v="شيك هومز"/>
    <m/>
    <x v="4"/>
    <x v="1"/>
    <s v="دورين"/>
    <x v="1"/>
    <s v="كاش"/>
    <s v="سرير كينج ابيض "/>
    <n v="10045"/>
    <n v="8879"/>
    <n v="21"/>
    <n v="0"/>
    <n v="45591"/>
    <n v="45612"/>
    <m/>
    <x v="1"/>
    <x v="1"/>
    <x v="1"/>
    <x v="0"/>
  </r>
  <r>
    <s v="ساره"/>
    <s v="الشيخ زايد اكتوبر"/>
    <x v="0"/>
    <x v="0"/>
    <s v="دورين"/>
    <x v="1"/>
    <s v="كاش"/>
    <s v="سرير نوفال 100 رمادى "/>
    <n v="11649"/>
    <n v="11749"/>
    <n v="15"/>
    <n v="23"/>
    <n v="45591"/>
    <n v="45606"/>
    <n v="45614"/>
    <x v="0"/>
    <x v="0"/>
    <x v="0"/>
    <x v="0"/>
  </r>
  <r>
    <s v="ساره"/>
    <s v="الشيخ زايد اكتوبر"/>
    <x v="0"/>
    <x v="0"/>
    <s v="دورين"/>
    <x v="1"/>
    <s v="كاش"/>
    <s v="سرير نوفال 100 رمادى "/>
    <n v="11649"/>
    <n v="11749"/>
    <n v="15"/>
    <n v="23"/>
    <n v="45591"/>
    <n v="45606"/>
    <n v="45614"/>
    <x v="0"/>
    <x v="0"/>
    <x v="0"/>
    <x v="0"/>
  </r>
  <r>
    <s v="بولا هومزمارت"/>
    <s v="المعادى"/>
    <x v="5"/>
    <x v="0"/>
    <s v="فردى"/>
    <x v="0"/>
    <s v="كاش"/>
    <s v="سرير نوفال 100 رمادى "/>
    <n v="5100"/>
    <n v="4800"/>
    <n v="14"/>
    <n v="24"/>
    <n v="45593"/>
    <n v="45607"/>
    <n v="45617"/>
    <x v="0"/>
    <x v="0"/>
    <x v="0"/>
    <x v="0"/>
  </r>
  <r>
    <s v="بولا هومزمارت"/>
    <s v="المعادى"/>
    <x v="5"/>
    <x v="0"/>
    <s v="فردى"/>
    <x v="0"/>
    <s v="كاش"/>
    <s v="سرير نوفال 100 رمادى "/>
    <n v="5300"/>
    <n v="4800"/>
    <n v="14"/>
    <n v="24"/>
    <n v="45593"/>
    <n v="45607"/>
    <n v="45617"/>
    <x v="0"/>
    <x v="0"/>
    <x v="0"/>
    <x v="0"/>
  </r>
  <r>
    <s v="محمد شكرى"/>
    <s v="مدينتى"/>
    <x v="5"/>
    <x v="0"/>
    <s v="دورين"/>
    <x v="0"/>
    <s v="مسبق الدفع"/>
    <s v="سرير نوفال 100 رمادى "/>
    <n v="12099"/>
    <s v="مسبق الدفع"/>
    <n v="15"/>
    <n v="16"/>
    <n v="45607"/>
    <n v="45622"/>
    <n v="45623"/>
    <x v="0"/>
    <x v="0"/>
    <x v="0"/>
    <x v="0"/>
  </r>
  <r>
    <s v="شيك هومز"/>
    <s v="مخزن شيك هومز"/>
    <x v="9"/>
    <x v="1"/>
    <s v="4×1"/>
    <x v="1"/>
    <s v="مسبق الدفع"/>
    <s v="كنبه سرير ٤ حركه "/>
    <n v="15872"/>
    <s v="مسبق الدفع"/>
    <n v="25"/>
    <n v="6"/>
    <n v="45604"/>
    <n v="45629"/>
    <n v="45610"/>
    <x v="0"/>
    <x v="1"/>
    <x v="1"/>
    <x v="2"/>
  </r>
  <r>
    <s v="منزلى"/>
    <s v="التجمع الخامس"/>
    <x v="5"/>
    <x v="6"/>
    <s v="فردى"/>
    <x v="0"/>
    <s v="حساب شركه"/>
    <s v="سرير نوفال 100 رمادى "/>
    <n v="4520"/>
    <s v="حساب شركه"/>
    <n v="12"/>
    <n v="11"/>
    <n v="45606"/>
    <n v="45618"/>
    <n v="45617"/>
    <x v="0"/>
    <x v="0"/>
    <x v="1"/>
    <x v="0"/>
  </r>
  <r>
    <s v="اوسكار راتن"/>
    <s v="المخزن ابو الغيط "/>
    <x v="6"/>
    <x v="4"/>
    <s v="دورين"/>
    <x v="1"/>
    <s v="حساب شركه"/>
    <s v="سرير نوفال 100 رمادى "/>
    <n v="5766"/>
    <s v="حساب شركه"/>
    <n v="14"/>
    <n v="13"/>
    <n v="45608"/>
    <n v="45622"/>
    <n v="45621"/>
    <x v="0"/>
    <x v="1"/>
    <x v="1"/>
    <x v="0"/>
  </r>
  <r>
    <s v="حماده"/>
    <s v="المعادى"/>
    <x v="5"/>
    <x v="0"/>
    <s v="فردى"/>
    <x v="6"/>
    <s v="مسبق الدفع"/>
    <s v="سرير نوفال 100 رمادى "/>
    <n v="11395"/>
    <s v="مسبق الدفع"/>
    <n v="12"/>
    <n v="15"/>
    <n v="45608"/>
    <n v="45620"/>
    <n v="45623"/>
    <x v="0"/>
    <x v="0"/>
    <x v="0"/>
    <x v="0"/>
  </r>
  <r>
    <s v="صفاء عبد الباقي"/>
    <s v="التجمع الخامس"/>
    <x v="5"/>
    <x v="0"/>
    <s v="دورين"/>
    <x v="0"/>
    <s v="مسبق الدفع"/>
    <s v="سرير كيفينج مقاس 90 لون ازرق "/>
    <n v="12919"/>
    <s v="مسبق الدفع"/>
    <n v="16"/>
    <n v="13"/>
    <n v="45610"/>
    <n v="45626"/>
    <n v="45623"/>
    <x v="0"/>
    <x v="0"/>
    <x v="1"/>
    <x v="0"/>
  </r>
  <r>
    <s v="اوسكار راتن"/>
    <s v="المخزن ابو الغيط "/>
    <x v="6"/>
    <x v="4"/>
    <s v="دورين"/>
    <x v="3"/>
    <s v="حساب شركه"/>
    <s v="سرير كيفينج مقاس 90 لون ازرق "/>
    <n v="6376"/>
    <s v="حساب شركه"/>
    <n v="13"/>
    <n v="11"/>
    <n v="45610"/>
    <n v="45623"/>
    <n v="45621"/>
    <x v="0"/>
    <x v="1"/>
    <x v="1"/>
    <x v="0"/>
  </r>
  <r>
    <s v="اوسكار راتن"/>
    <s v="المخزن"/>
    <x v="9"/>
    <x v="4"/>
    <s v="دورين "/>
    <x v="1"/>
    <s v="حساب شركه"/>
    <s v="سرير كيفينج مقاس 90 لون ازرق "/>
    <n v="5294"/>
    <s v="حساب شركه"/>
    <n v="13"/>
    <n v="11"/>
    <n v="45610"/>
    <n v="45623"/>
    <n v="45621"/>
    <x v="0"/>
    <x v="1"/>
    <x v="1"/>
    <x v="0"/>
  </r>
  <r>
    <s v="رندا العامرى"/>
    <s v="٦ اكتوبر الجيزه "/>
    <x v="0"/>
    <x v="7"/>
    <s v="دورين "/>
    <x v="0"/>
    <s v="مسبق الدفع"/>
    <s v="سرير كيفينج مقاس 90 لون ازرق "/>
    <n v="7396"/>
    <s v="مسبق الدفع"/>
    <n v="11"/>
    <n v="9"/>
    <n v="45613"/>
    <n v="45624"/>
    <n v="45622"/>
    <x v="0"/>
    <x v="0"/>
    <x v="1"/>
    <x v="0"/>
  </r>
  <r>
    <s v="ساره"/>
    <s v="٦ اكتوبر الجيزه"/>
    <x v="0"/>
    <x v="0"/>
    <s v="دورين"/>
    <x v="1"/>
    <s v="كاش"/>
    <s v="سرير كيفينج مقاس 90 لون ازرق "/>
    <n v="13439"/>
    <n v="13575"/>
    <n v="15"/>
    <n v="6"/>
    <n v="45616"/>
    <n v="45631"/>
    <n v="45622"/>
    <x v="0"/>
    <x v="0"/>
    <x v="1"/>
    <x v="0"/>
  </r>
  <r>
    <s v="تاكى"/>
    <s v="العباسيه "/>
    <x v="5"/>
    <x v="3"/>
    <s v="فردى "/>
    <x v="1"/>
    <s v="حساب شركه"/>
    <s v="سرير كيفينج مقاس 90 لون ازرق "/>
    <n v="5100"/>
    <s v="حساب شركه"/>
    <n v="24"/>
    <n v="0"/>
    <n v="45610"/>
    <n v="45634"/>
    <m/>
    <x v="1"/>
    <x v="1"/>
    <x v="1"/>
    <x v="0"/>
  </r>
  <r>
    <s v="محمد حمدى"/>
    <s v="مصر الجديده"/>
    <x v="5"/>
    <x v="2"/>
    <s v="فردى"/>
    <x v="5"/>
    <s v="كاش"/>
    <m/>
    <n v="6000"/>
    <n v="5800"/>
    <n v="10"/>
    <n v="5"/>
    <n v="45618"/>
    <n v="45628"/>
    <n v="45623"/>
    <x v="0"/>
    <x v="0"/>
    <x v="1"/>
    <x v="0"/>
  </r>
  <r>
    <s v="بافلى هانى"/>
    <s v="شبرا "/>
    <x v="5"/>
    <x v="0"/>
    <s v="فردى "/>
    <x v="3"/>
    <s v="كاش"/>
    <m/>
    <n v="10885"/>
    <n v="7965"/>
    <n v="11"/>
    <n v="16"/>
    <n v="45620"/>
    <n v="45631"/>
    <n v="45636"/>
    <x v="0"/>
    <x v="0"/>
    <x v="0"/>
    <x v="0"/>
  </r>
  <r>
    <s v="تاكى"/>
    <s v="العباسيه "/>
    <x v="5"/>
    <x v="3"/>
    <s v="t1"/>
    <x v="2"/>
    <s v="كاش"/>
    <m/>
    <n v="6000"/>
    <n v="6000"/>
    <n v="16"/>
    <n v="1"/>
    <n v="45615"/>
    <n v="45631"/>
    <n v="45616"/>
    <x v="0"/>
    <x v="1"/>
    <x v="1"/>
    <x v="2"/>
  </r>
  <r>
    <s v="رنا ميلاد"/>
    <s v="جليم الإسكندرية "/>
    <x v="1"/>
    <x v="0"/>
    <m/>
    <x v="2"/>
    <s v="مسبق الدفع"/>
    <m/>
    <n v="8449"/>
    <s v="مسبق الدفع"/>
    <n v="13"/>
    <n v="26"/>
    <n v="45623"/>
    <n v="45636"/>
    <n v="45649"/>
    <x v="0"/>
    <x v="0"/>
    <x v="0"/>
    <x v="1"/>
  </r>
  <r>
    <s v="محمد ناجى"/>
    <s v="مدينه نصر "/>
    <x v="5"/>
    <x v="0"/>
    <s v="دوران "/>
    <x v="0"/>
    <s v="كاش"/>
    <m/>
    <n v="10249"/>
    <n v="6211"/>
    <n v="13"/>
    <n v="22"/>
    <n v="45623"/>
    <n v="45636"/>
    <n v="45645"/>
    <x v="0"/>
    <x v="0"/>
    <x v="0"/>
    <x v="1"/>
  </r>
  <r>
    <s v="احمد عبد الستار"/>
    <s v="المندره اسكندريه"/>
    <x v="1"/>
    <x v="0"/>
    <s v="دورين"/>
    <x v="1"/>
    <s v="مسبق الدفع"/>
    <m/>
    <n v="14905"/>
    <s v="مسبق الدفع"/>
    <n v="16"/>
    <n v="0"/>
    <n v="45625"/>
    <n v="45641"/>
    <m/>
    <x v="1"/>
    <x v="0"/>
    <x v="1"/>
    <x v="0"/>
  </r>
  <r>
    <s v="نور"/>
    <s v="القاهره الجديده"/>
    <x v="5"/>
    <x v="0"/>
    <s v="دوران "/>
    <x v="1"/>
    <s v="مسبق الدفع"/>
    <m/>
    <n v="10249"/>
    <s v="مسبق الدفع"/>
    <n v="12"/>
    <n v="0"/>
    <n v="45626"/>
    <n v="45638"/>
    <m/>
    <x v="1"/>
    <x v="0"/>
    <x v="1"/>
    <x v="1"/>
  </r>
  <r>
    <s v="نور"/>
    <s v="القاهره الجديده"/>
    <x v="5"/>
    <x v="0"/>
    <s v="رف سحاب"/>
    <x v="1"/>
    <s v="مسبق الدفع"/>
    <m/>
    <n v="9029"/>
    <s v="مسبق الدفع"/>
    <n v="12"/>
    <n v="0"/>
    <n v="45626"/>
    <n v="45638"/>
    <m/>
    <x v="1"/>
    <x v="0"/>
    <x v="1"/>
    <x v="1"/>
  </r>
  <r>
    <s v="تامر"/>
    <s v="العين السخنه"/>
    <x v="7"/>
    <x v="0"/>
    <s v="٢ ميكانزم"/>
    <x v="1"/>
    <s v="مسبق الدفع"/>
    <m/>
    <n v="9029"/>
    <s v="مسبق الدفع"/>
    <n v="12"/>
    <n v="0"/>
    <n v="45626"/>
    <n v="45638"/>
    <m/>
    <x v="1"/>
    <x v="0"/>
    <x v="1"/>
    <x v="1"/>
  </r>
  <r>
    <s v="هناء اسامه"/>
    <s v="القطاميه"/>
    <x v="5"/>
    <x v="0"/>
    <s v="دورين "/>
    <x v="0"/>
    <s v="مسبق الدفع"/>
    <m/>
    <n v="12099"/>
    <s v="مسبق الدفع"/>
    <n v="15"/>
    <n v="0"/>
    <n v="45628"/>
    <n v="45643"/>
    <m/>
    <x v="1"/>
    <x v="0"/>
    <x v="1"/>
    <x v="0"/>
  </r>
  <r>
    <s v="اوسكار راتن"/>
    <s v="المخزن ابو الغيط "/>
    <x v="6"/>
    <x v="4"/>
    <s v="دورين "/>
    <x v="2"/>
    <s v="حساب شركه"/>
    <m/>
    <n v="5217"/>
    <s v="حساب شركه"/>
    <n v="13"/>
    <n v="9"/>
    <n v="45627"/>
    <n v="45640"/>
    <n v="45636"/>
    <x v="0"/>
    <x v="1"/>
    <x v="1"/>
    <x v="0"/>
  </r>
  <r>
    <s v="محمد عادل"/>
    <s v="العبور"/>
    <x v="5"/>
    <x v="0"/>
    <s v="منطبق"/>
    <x v="1"/>
    <s v="كاش"/>
    <m/>
    <n v="10249"/>
    <n v="6211"/>
    <n v="10"/>
    <n v="15"/>
    <n v="45630"/>
    <n v="45640"/>
    <n v="45645"/>
    <x v="0"/>
    <x v="0"/>
    <x v="0"/>
    <x v="0"/>
  </r>
  <r>
    <s v="مريم عنان"/>
    <s v="اب تاون كايرو التجمع "/>
    <x v="5"/>
    <x v="1"/>
    <s v="دورين"/>
    <x v="1"/>
    <s v="كاش"/>
    <m/>
    <n v="10445"/>
    <n v="7707"/>
    <n v="22"/>
    <n v="3"/>
    <n v="45635"/>
    <n v="45657"/>
    <n v="45638"/>
    <x v="0"/>
    <x v="0"/>
    <x v="1"/>
    <x v="0"/>
  </r>
  <r>
    <s v="هبه عطيه"/>
    <s v="القاهره الجديده"/>
    <x v="5"/>
    <x v="0"/>
    <s v="دوران"/>
    <x v="1"/>
    <s v="كاش"/>
    <m/>
    <n v="11199"/>
    <n v="11257"/>
    <n v="12"/>
    <n v="7"/>
    <n v="45638"/>
    <n v="45650"/>
    <n v="45645"/>
    <x v="0"/>
    <x v="0"/>
    <x v="1"/>
    <x v="1"/>
  </r>
  <r>
    <s v="حمدى ذكرى"/>
    <s v="٦ اكتوبر الجيزه"/>
    <x v="0"/>
    <x v="0"/>
    <s v="دورين"/>
    <x v="1"/>
    <s v="كاش"/>
    <m/>
    <n v="13099"/>
    <n v="13231"/>
    <n v="16"/>
    <n v="17"/>
    <n v="45638"/>
    <n v="45654"/>
    <n v="45655"/>
    <x v="0"/>
    <x v="0"/>
    <x v="0"/>
    <x v="0"/>
  </r>
  <r>
    <s v="شيك هومز"/>
    <s v="مخزن شيك هومز"/>
    <x v="9"/>
    <x v="1"/>
    <s v="4×1"/>
    <x v="1"/>
    <s v="حساب شركه"/>
    <m/>
    <n v="8700"/>
    <s v="حساب شركه"/>
    <n v="22"/>
    <n v="15"/>
    <n v="45640"/>
    <n v="45662"/>
    <n v="45655"/>
    <x v="0"/>
    <x v="1"/>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F702AF-7D0F-469B-9FAD-263AC3AAFDBD}" name="PivotTable1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P5:AQ17" firstHeaderRow="1" firstDataRow="1" firstDataCol="1" rowPageCount="1" colPageCount="1"/>
  <pivotFields count="19">
    <pivotField showAll="0"/>
    <pivotField showAll="0"/>
    <pivotField showAll="0">
      <items count="11">
        <item x="8"/>
        <item x="1"/>
        <item x="9"/>
        <item x="4"/>
        <item x="3"/>
        <item x="0"/>
        <item x="7"/>
        <item x="5"/>
        <item x="6"/>
        <item x="2"/>
        <item t="default"/>
      </items>
    </pivotField>
    <pivotField showAll="0"/>
    <pivotField showAll="0"/>
    <pivotField axis="axisRow" showAll="0" sortType="descending">
      <items count="12">
        <item x="0"/>
        <item x="2"/>
        <item x="1"/>
        <item x="7"/>
        <item x="8"/>
        <item x="6"/>
        <item x="9"/>
        <item x="5"/>
        <item x="3"/>
        <item x="1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 showAll="0"/>
    <pivotField showAll="0"/>
    <pivotField showAll="0"/>
    <pivotField showAll="0"/>
    <pivotField axis="axisPage" dataField="1" showAll="0">
      <items count="4">
        <item x="0"/>
        <item x="2"/>
        <item x="1"/>
        <item t="default"/>
      </items>
    </pivotField>
    <pivotField showAll="0"/>
    <pivotField showAll="0"/>
    <pivotField showAll="0"/>
  </pivotFields>
  <rowFields count="1">
    <field x="5"/>
  </rowFields>
  <rowItems count="12">
    <i>
      <x v="2"/>
    </i>
    <i>
      <x/>
    </i>
    <i>
      <x v="1"/>
    </i>
    <i>
      <x v="8"/>
    </i>
    <i>
      <x v="4"/>
    </i>
    <i>
      <x v="10"/>
    </i>
    <i>
      <x v="7"/>
    </i>
    <i>
      <x v="3"/>
    </i>
    <i>
      <x v="6"/>
    </i>
    <i>
      <x v="5"/>
    </i>
    <i>
      <x v="9"/>
    </i>
    <i t="grand">
      <x/>
    </i>
  </rowItems>
  <colItems count="1">
    <i/>
  </colItems>
  <pageFields count="1">
    <pageField fld="15" hier="-1"/>
  </pageFields>
  <dataFields count="1">
    <dataField name="Count of الحالة"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0FB26A-0BA4-445E-A7DC-59F6F1B26FFF}" name="PivotTable1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H6:AI13" firstHeaderRow="1" firstDataRow="1" firstDataCol="1" rowPageCount="1" colPageCount="1"/>
  <pivotFields count="19">
    <pivotField showAll="0"/>
    <pivotField showAll="0"/>
    <pivotField showAll="0">
      <items count="11">
        <item x="8"/>
        <item x="1"/>
        <item x="9"/>
        <item x="4"/>
        <item x="3"/>
        <item x="0"/>
        <item x="7"/>
        <item x="5"/>
        <item x="6"/>
        <item x="2"/>
        <item t="default"/>
      </items>
    </pivotField>
    <pivotField showAll="0"/>
    <pivotField showAll="0"/>
    <pivotField showAll="0"/>
    <pivotField showAll="0"/>
    <pivotField showAll="0"/>
    <pivotField showAll="0"/>
    <pivotField showAll="0"/>
    <pivotField showAll="0"/>
    <pivotField numFmtId="1" showAll="0"/>
    <pivotField showAll="0"/>
    <pivotField showAll="0"/>
    <pivotField showAll="0"/>
    <pivotField axis="axisPage" dataField="1" showAll="0">
      <items count="4">
        <item x="0"/>
        <item x="2"/>
        <item x="1"/>
        <item t="default"/>
      </items>
    </pivotField>
    <pivotField showAll="0"/>
    <pivotField showAll="0"/>
    <pivotField axis="axisRow" showAll="0" sortType="ascending">
      <items count="7">
        <item x="1"/>
        <item x="3"/>
        <item x="0"/>
        <item x="5"/>
        <item x="4"/>
        <item x="2"/>
        <item t="default"/>
      </items>
      <autoSortScope>
        <pivotArea dataOnly="0" outline="0" fieldPosition="0">
          <references count="1">
            <reference field="4294967294" count="1" selected="0">
              <x v="0"/>
            </reference>
          </references>
        </pivotArea>
      </autoSortScope>
    </pivotField>
  </pivotFields>
  <rowFields count="1">
    <field x="18"/>
  </rowFields>
  <rowItems count="7">
    <i>
      <x v="1"/>
    </i>
    <i>
      <x v="4"/>
    </i>
    <i>
      <x v="3"/>
    </i>
    <i>
      <x/>
    </i>
    <i>
      <x v="5"/>
    </i>
    <i>
      <x v="2"/>
    </i>
    <i t="grand">
      <x/>
    </i>
  </rowItems>
  <colItems count="1">
    <i/>
  </colItems>
  <pageFields count="1">
    <pageField fld="15" hier="-1"/>
  </pageFields>
  <dataFields count="1">
    <dataField name="Count of الحالة" fld="15" subtotal="count"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8A61FC-21A4-4A8E-8F00-884B60F40921}" name="PivotTable1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U8:BV11" firstHeaderRow="1" firstDataRow="1" firstDataCol="1"/>
  <pivotFields count="19">
    <pivotField showAll="0"/>
    <pivotField showAll="0"/>
    <pivotField showAll="0">
      <items count="11">
        <item x="8"/>
        <item x="1"/>
        <item x="9"/>
        <item x="4"/>
        <item x="3"/>
        <item x="0"/>
        <item x="7"/>
        <item x="5"/>
        <item x="6"/>
        <item x="2"/>
        <item t="default"/>
      </items>
    </pivotField>
    <pivotField showAll="0"/>
    <pivotField showAll="0"/>
    <pivotField showAll="0"/>
    <pivotField showAll="0"/>
    <pivotField showAll="0"/>
    <pivotField showAll="0"/>
    <pivotField showAll="0"/>
    <pivotField showAll="0"/>
    <pivotField numFmtId="1" showAll="0"/>
    <pivotField showAll="0"/>
    <pivotField showAll="0"/>
    <pivotField showAll="0"/>
    <pivotField showAll="0">
      <items count="4">
        <item x="0"/>
        <item x="2"/>
        <item x="1"/>
        <item t="default"/>
      </items>
    </pivotField>
    <pivotField axis="axisRow" dataField="1" showAll="0">
      <items count="3">
        <item x="0"/>
        <item x="1"/>
        <item t="default"/>
      </items>
    </pivotField>
    <pivotField showAll="0"/>
    <pivotField showAll="0"/>
  </pivotFields>
  <rowFields count="1">
    <field x="16"/>
  </rowFields>
  <rowItems count="3">
    <i>
      <x/>
    </i>
    <i>
      <x v="1"/>
    </i>
    <i t="grand">
      <x/>
    </i>
  </rowItems>
  <colItems count="1">
    <i/>
  </colItems>
  <dataFields count="1">
    <dataField name="Count of نوع العميل" fld="16" subtotal="count" baseField="0" baseItem="0"/>
  </dataFields>
  <chartFormats count="6">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6" count="1" selected="0">
            <x v="0"/>
          </reference>
        </references>
      </pivotArea>
    </chartFormat>
    <chartFormat chart="4" format="3">
      <pivotArea type="data" outline="0" fieldPosition="0">
        <references count="2">
          <reference field="4294967294" count="1" selected="0">
            <x v="0"/>
          </reference>
          <reference field="16"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6" count="1" selected="0">
            <x v="0"/>
          </reference>
        </references>
      </pivotArea>
    </chartFormat>
    <chartFormat chart="5" format="6">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FA5F54-6448-402F-8C6E-5C1BF007F4D3}" name="PivotTable1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BN10:BO21" firstHeaderRow="1" firstDataRow="1" firstDataCol="1" rowPageCount="1" colPageCount="1"/>
  <pivotFields count="19">
    <pivotField showAll="0"/>
    <pivotField showAll="0"/>
    <pivotField axis="axisRow" showAll="0" sortType="descending">
      <items count="11">
        <item x="8"/>
        <item x="1"/>
        <item x="3"/>
        <item x="0"/>
        <item x="7"/>
        <item x="5"/>
        <item x="6"/>
        <item x="2"/>
        <item x="4"/>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numFmtId="1" showAll="0"/>
    <pivotField showAll="0"/>
    <pivotField showAll="0"/>
    <pivotField showAll="0"/>
    <pivotField axis="axisPage" showAll="0">
      <items count="4">
        <item x="0"/>
        <item x="2"/>
        <item x="1"/>
        <item t="default"/>
      </items>
    </pivotField>
    <pivotField showAll="0"/>
    <pivotField showAll="0"/>
    <pivotField showAll="0"/>
  </pivotFields>
  <rowFields count="1">
    <field x="2"/>
  </rowFields>
  <rowItems count="11">
    <i>
      <x v="5"/>
    </i>
    <i>
      <x v="3"/>
    </i>
    <i>
      <x v="8"/>
    </i>
    <i>
      <x v="4"/>
    </i>
    <i>
      <x v="9"/>
    </i>
    <i>
      <x v="1"/>
    </i>
    <i>
      <x v="6"/>
    </i>
    <i>
      <x v="2"/>
    </i>
    <i>
      <x v="7"/>
    </i>
    <i>
      <x/>
    </i>
    <i t="grand">
      <x/>
    </i>
  </rowItems>
  <colItems count="1">
    <i/>
  </colItems>
  <pageFields count="1">
    <pageField fld="15" hier="-1"/>
  </pageFields>
  <dataFields count="1">
    <dataField name="Sum of سعر البيع " fld="8" baseField="0" baseItem="0"/>
  </dataFields>
  <formats count="2">
    <format dxfId="1">
      <pivotArea grandRow="1" outline="0" collapsedLevelsAreSubtotals="1" fieldPosition="0"/>
    </format>
    <format dxfId="0">
      <pivotArea collapsedLevelsAreSubtotals="1" fieldPosition="0">
        <references count="1">
          <reference field="2" count="1">
            <x v="4"/>
          </reference>
        </references>
      </pivotArea>
    </format>
  </formats>
  <chartFormats count="2">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0AE6C2-681D-4222-ACF5-F21A5DB4D4C4}" name="PivotTable10"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Y7:Z16" firstHeaderRow="1" firstDataRow="1" firstDataCol="1" rowPageCount="1" colPageCount="1"/>
  <pivotFields count="19">
    <pivotField showAll="0"/>
    <pivotField showAll="0"/>
    <pivotField showAll="0">
      <items count="11">
        <item x="8"/>
        <item x="1"/>
        <item x="9"/>
        <item x="4"/>
        <item x="3"/>
        <item x="0"/>
        <item x="7"/>
        <item x="5"/>
        <item x="6"/>
        <item x="2"/>
        <item t="default"/>
      </items>
    </pivotField>
    <pivotField axis="axisRow" dataField="1" showAll="0" sortType="descending">
      <items count="9">
        <item x="0"/>
        <item x="6"/>
        <item x="7"/>
        <item x="2"/>
        <item x="1"/>
        <item x="4"/>
        <item x="5"/>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 showAll="0"/>
    <pivotField showAll="0"/>
    <pivotField showAll="0"/>
    <pivotField showAll="0"/>
    <pivotField axis="axisPage" showAll="0">
      <items count="4">
        <item x="0"/>
        <item x="2"/>
        <item x="1"/>
        <item t="default"/>
      </items>
    </pivotField>
    <pivotField showAll="0"/>
    <pivotField showAll="0"/>
    <pivotField showAll="0"/>
  </pivotFields>
  <rowFields count="1">
    <field x="3"/>
  </rowFields>
  <rowItems count="9">
    <i>
      <x/>
    </i>
    <i>
      <x v="4"/>
    </i>
    <i>
      <x v="5"/>
    </i>
    <i>
      <x v="7"/>
    </i>
    <i>
      <x v="6"/>
    </i>
    <i>
      <x v="3"/>
    </i>
    <i>
      <x v="1"/>
    </i>
    <i>
      <x v="2"/>
    </i>
    <i t="grand">
      <x/>
    </i>
  </rowItems>
  <colItems count="1">
    <i/>
  </colItems>
  <pageFields count="1">
    <pageField fld="15" hier="-1"/>
  </pageFields>
  <dataFields count="1">
    <dataField name="Count of منصة البيع " fld="3" subtotal="count" baseField="0" baseItem="0"/>
  </dataFields>
  <chartFormats count="9">
    <chartFormat chart="38" format="2" series="1">
      <pivotArea type="data" outline="0" fieldPosition="0">
        <references count="1">
          <reference field="4294967294" count="1" selected="0">
            <x v="0"/>
          </reference>
        </references>
      </pivotArea>
    </chartFormat>
    <chartFormat chart="38" format="13">
      <pivotArea type="data" outline="0" fieldPosition="0">
        <references count="2">
          <reference field="4294967294" count="1" selected="0">
            <x v="0"/>
          </reference>
          <reference field="3" count="1" selected="0">
            <x v="0"/>
          </reference>
        </references>
      </pivotArea>
    </chartFormat>
    <chartFormat chart="38" format="14">
      <pivotArea type="data" outline="0" fieldPosition="0">
        <references count="2">
          <reference field="4294967294" count="1" selected="0">
            <x v="0"/>
          </reference>
          <reference field="3" count="1" selected="0">
            <x v="1"/>
          </reference>
        </references>
      </pivotArea>
    </chartFormat>
    <chartFormat chart="38" format="15">
      <pivotArea type="data" outline="0" fieldPosition="0">
        <references count="2">
          <reference field="4294967294" count="1" selected="0">
            <x v="0"/>
          </reference>
          <reference field="3" count="1" selected="0">
            <x v="2"/>
          </reference>
        </references>
      </pivotArea>
    </chartFormat>
    <chartFormat chart="38" format="16">
      <pivotArea type="data" outline="0" fieldPosition="0">
        <references count="2">
          <reference field="4294967294" count="1" selected="0">
            <x v="0"/>
          </reference>
          <reference field="3" count="1" selected="0">
            <x v="3"/>
          </reference>
        </references>
      </pivotArea>
    </chartFormat>
    <chartFormat chart="38" format="17">
      <pivotArea type="data" outline="0" fieldPosition="0">
        <references count="2">
          <reference field="4294967294" count="1" selected="0">
            <x v="0"/>
          </reference>
          <reference field="3" count="1" selected="0">
            <x v="4"/>
          </reference>
        </references>
      </pivotArea>
    </chartFormat>
    <chartFormat chart="38" format="18">
      <pivotArea type="data" outline="0" fieldPosition="0">
        <references count="2">
          <reference field="4294967294" count="1" selected="0">
            <x v="0"/>
          </reference>
          <reference field="3" count="1" selected="0">
            <x v="5"/>
          </reference>
        </references>
      </pivotArea>
    </chartFormat>
    <chartFormat chart="38" format="19">
      <pivotArea type="data" outline="0" fieldPosition="0">
        <references count="2">
          <reference field="4294967294" count="1" selected="0">
            <x v="0"/>
          </reference>
          <reference field="3" count="1" selected="0">
            <x v="6"/>
          </reference>
        </references>
      </pivotArea>
    </chartFormat>
    <chartFormat chart="38" format="20">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1522EF-24FE-4BD9-AD03-9174DB90902A}" name="PivotTable1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F10:BG14" firstHeaderRow="1" firstDataRow="1" firstDataCol="1"/>
  <pivotFields count="19">
    <pivotField showAll="0"/>
    <pivotField showAll="0"/>
    <pivotField showAll="0">
      <items count="11">
        <item x="8"/>
        <item x="1"/>
        <item x="9"/>
        <item x="4"/>
        <item x="3"/>
        <item x="0"/>
        <item x="7"/>
        <item x="5"/>
        <item x="6"/>
        <item x="2"/>
        <item t="default"/>
      </items>
    </pivotField>
    <pivotField showAll="0"/>
    <pivotField showAll="0"/>
    <pivotField showAll="0"/>
    <pivotField showAll="0"/>
    <pivotField showAll="0"/>
    <pivotField showAll="0"/>
    <pivotField showAll="0"/>
    <pivotField showAll="0"/>
    <pivotField numFmtId="1" showAll="0"/>
    <pivotField showAll="0"/>
    <pivotField showAll="0"/>
    <pivotField showAll="0"/>
    <pivotField axis="axisRow" dataField="1" showAll="0">
      <items count="4">
        <item x="0"/>
        <item x="2"/>
        <item x="1"/>
        <item t="default"/>
      </items>
    </pivotField>
    <pivotField showAll="0"/>
    <pivotField showAll="0"/>
    <pivotField showAll="0"/>
  </pivotFields>
  <rowFields count="1">
    <field x="15"/>
  </rowFields>
  <rowItems count="4">
    <i>
      <x/>
    </i>
    <i>
      <x v="1"/>
    </i>
    <i>
      <x v="2"/>
    </i>
    <i t="grand">
      <x/>
    </i>
  </rowItems>
  <colItems count="1">
    <i/>
  </colItems>
  <dataFields count="1">
    <dataField name="Count of الحالة" fld="15" subtotal="count" showDataAs="percentOfTotal" baseField="21" baseItem="0" numFmtId="10"/>
  </dataFields>
  <chartFormats count="4">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15" count="1" selected="0">
            <x v="0"/>
          </reference>
        </references>
      </pivotArea>
    </chartFormat>
    <chartFormat chart="15" format="7">
      <pivotArea type="data" outline="0" fieldPosition="0">
        <references count="2">
          <reference field="4294967294" count="1" selected="0">
            <x v="0"/>
          </reference>
          <reference field="15" count="1" selected="0">
            <x v="2"/>
          </reference>
        </references>
      </pivotArea>
    </chartFormat>
    <chartFormat chart="15" format="8">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FA67E9-67D1-4CAD-B74F-06CA053BF335}" name="PivotTable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6:R7" firstHeaderRow="1" firstDataRow="1" firstDataCol="0" rowPageCount="1" colPageCount="1"/>
  <pivotFields count="19">
    <pivotField showAll="0"/>
    <pivotField showAll="0"/>
    <pivotField showAll="0">
      <items count="11">
        <item x="8"/>
        <item x="1"/>
        <item x="9"/>
        <item x="4"/>
        <item x="3"/>
        <item x="0"/>
        <item x="7"/>
        <item x="5"/>
        <item x="6"/>
        <item x="2"/>
        <item t="default"/>
      </items>
    </pivotField>
    <pivotField showAll="0"/>
    <pivotField showAll="0"/>
    <pivotField showAll="0"/>
    <pivotField showAll="0"/>
    <pivotField showAll="0"/>
    <pivotField dataField="1" showAll="0"/>
    <pivotField showAll="0"/>
    <pivotField showAll="0"/>
    <pivotField numFmtId="1" showAll="0"/>
    <pivotField showAll="0"/>
    <pivotField showAll="0"/>
    <pivotField showAll="0"/>
    <pivotField axis="axisPage" showAll="0">
      <items count="4">
        <item x="0"/>
        <item x="2"/>
        <item x="1"/>
        <item t="default"/>
      </items>
    </pivotField>
    <pivotField showAll="0"/>
    <pivotField showAll="0"/>
    <pivotField showAll="0"/>
  </pivotFields>
  <rowItems count="1">
    <i/>
  </rowItems>
  <colItems count="1">
    <i/>
  </colItems>
  <pageFields count="1">
    <pageField fld="15" hier="-1"/>
  </pageFields>
  <dataFields count="1">
    <dataField name="Average of سعر البيع " fld="8" subtotal="average"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B3891B-EA27-4DFB-9785-B8AAE1035C23}" name="PivotTable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6:J7" firstHeaderRow="1" firstDataRow="1" firstDataCol="0"/>
  <pivotFields count="19">
    <pivotField showAll="0"/>
    <pivotField showAll="0"/>
    <pivotField showAll="0">
      <items count="11">
        <item x="8"/>
        <item x="1"/>
        <item x="9"/>
        <item x="4"/>
        <item x="3"/>
        <item x="0"/>
        <item x="7"/>
        <item x="5"/>
        <item x="6"/>
        <item x="2"/>
        <item t="default"/>
      </items>
    </pivotField>
    <pivotField showAll="0"/>
    <pivotField showAll="0"/>
    <pivotField showAll="0"/>
    <pivotField showAll="0"/>
    <pivotField showAll="0"/>
    <pivotField showAll="0"/>
    <pivotField showAll="0"/>
    <pivotField showAll="0"/>
    <pivotField numFmtId="1" showAll="0"/>
    <pivotField showAll="0"/>
    <pivotField showAll="0"/>
    <pivotField showAll="0"/>
    <pivotField dataField="1" showAll="0">
      <items count="4">
        <item x="0"/>
        <item x="2"/>
        <item x="1"/>
        <item t="default"/>
      </items>
    </pivotField>
    <pivotField showAll="0"/>
    <pivotField showAll="0"/>
    <pivotField showAll="0"/>
  </pivotFields>
  <rowItems count="1">
    <i/>
  </rowItems>
  <colItems count="1">
    <i/>
  </colItems>
  <dataFields count="1">
    <dataField name="Count of الحالة"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0AE8F9-4D84-4907-8F9D-A36686648726}" name="PivotTable1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W9:AX12" firstHeaderRow="1" firstDataRow="1" firstDataCol="1" rowPageCount="1" colPageCount="1"/>
  <pivotFields count="19">
    <pivotField showAll="0"/>
    <pivotField showAll="0"/>
    <pivotField showAll="0">
      <items count="11">
        <item x="8"/>
        <item x="1"/>
        <item x="9"/>
        <item x="4"/>
        <item x="3"/>
        <item x="0"/>
        <item x="7"/>
        <item x="5"/>
        <item x="6"/>
        <item x="2"/>
        <item t="default"/>
      </items>
    </pivotField>
    <pivotField showAll="0"/>
    <pivotField showAll="0"/>
    <pivotField showAll="0"/>
    <pivotField showAll="0"/>
    <pivotField showAll="0"/>
    <pivotField showAll="0"/>
    <pivotField showAll="0"/>
    <pivotField showAll="0"/>
    <pivotField numFmtId="1" showAll="0"/>
    <pivotField showAll="0"/>
    <pivotField showAll="0"/>
    <pivotField showAll="0"/>
    <pivotField axis="axisPage" showAll="0">
      <items count="4">
        <item x="0"/>
        <item x="2"/>
        <item x="1"/>
        <item t="default"/>
      </items>
    </pivotField>
    <pivotField showAll="0"/>
    <pivotField axis="axisRow" dataField="1" showAll="0">
      <items count="3">
        <item x="0"/>
        <item x="1"/>
        <item t="default"/>
      </items>
    </pivotField>
    <pivotField showAll="0"/>
  </pivotFields>
  <rowFields count="1">
    <field x="17"/>
  </rowFields>
  <rowItems count="3">
    <i>
      <x/>
    </i>
    <i>
      <x v="1"/>
    </i>
    <i t="grand">
      <x/>
    </i>
  </rowItems>
  <colItems count="1">
    <i/>
  </colItems>
  <pageFields count="1">
    <pageField fld="15" hier="-1"/>
  </pageFields>
  <dataFields count="1">
    <dataField name="Count of التسليم في الموعد" fld="17" subtotal="count" showDataAs="percentOfTotal" baseField="0" baseItem="0" numFmtId="10"/>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7" count="1" selected="0">
            <x v="0"/>
          </reference>
        </references>
      </pivotArea>
    </chartFormat>
    <chartFormat chart="6" format="6">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65B916-DBCC-46B4-B067-895F619D62B6}"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rowPageCount="1" colPageCount="1"/>
  <pivotFields count="19">
    <pivotField showAll="0"/>
    <pivotField showAll="0"/>
    <pivotField showAll="0">
      <items count="11">
        <item x="8"/>
        <item x="1"/>
        <item x="9"/>
        <item x="4"/>
        <item x="3"/>
        <item x="0"/>
        <item x="7"/>
        <item x="5"/>
        <item x="6"/>
        <item x="2"/>
        <item t="default"/>
      </items>
    </pivotField>
    <pivotField showAll="0"/>
    <pivotField showAll="0"/>
    <pivotField showAll="0"/>
    <pivotField showAll="0"/>
    <pivotField showAll="0"/>
    <pivotField dataField="1" showAll="0"/>
    <pivotField showAll="0"/>
    <pivotField showAll="0"/>
    <pivotField numFmtId="1" showAll="0"/>
    <pivotField showAll="0"/>
    <pivotField showAll="0"/>
    <pivotField showAll="0"/>
    <pivotField axis="axisPage" showAll="0">
      <items count="4">
        <item x="0"/>
        <item x="2"/>
        <item x="1"/>
        <item t="default"/>
      </items>
    </pivotField>
    <pivotField showAll="0"/>
    <pivotField showAll="0"/>
    <pivotField showAll="0"/>
  </pivotFields>
  <rowItems count="1">
    <i/>
  </rowItems>
  <colItems count="1">
    <i/>
  </colItems>
  <pageFields count="1">
    <pageField fld="15" hier="-1"/>
  </pageFields>
  <dataFields count="1">
    <dataField name="Sum of سعر البيع " fld="8"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51D660D5-06FF-49B0-8166-1D67CE00F54D}" autoFormatId="16" applyNumberFormats="0" applyBorderFormats="0" applyFontFormats="0" applyPatternFormats="0" applyAlignmentFormats="0" applyWidthHeightFormats="0">
  <queryTableRefresh nextId="24">
    <queryTableFields count="19">
      <queryTableField id="1" name="أسم العميل" tableColumnId="1"/>
      <queryTableField id="2" name="العنوان" tableColumnId="2"/>
      <queryTableField id="3" name="المحافظة" tableColumnId="3"/>
      <queryTableField id="4" name="منصة البيع " tableColumnId="4"/>
      <queryTableField id="5" name="اسم الصنف" tableColumnId="5"/>
      <queryTableField id="8" name="اللون المعدن" tableColumnId="8"/>
      <queryTableField id="10" name="طريقة الدفع 2" tableColumnId="10"/>
      <queryTableField id="11" name="المنتج" tableColumnId="11"/>
      <queryTableField id="12" name="سعر البيع " tableColumnId="12"/>
      <queryTableField id="13" name="طريقه الدفع " tableColumnId="13"/>
      <queryTableField id="14" name="مدة التسليم الهدف" tableColumnId="14"/>
      <queryTableField id="15" name="مدة التسليم الفعلي" tableColumnId="15"/>
      <queryTableField id="16" name="ميعاد الطلب" tableColumnId="16"/>
      <queryTableField id="17" name="ميعاد التسليم" tableColumnId="17"/>
      <queryTableField id="18" name="تاريخ التسليم" tableColumnId="18"/>
      <queryTableField id="20" name="الحالة" tableColumnId="20"/>
      <queryTableField id="21" name="نوع العميل" tableColumnId="21"/>
      <queryTableField id="22" name="التسليم في الموعد" tableColumnId="22"/>
      <queryTableField id="23" name="الصنف" tableColumnId="23"/>
    </queryTableFields>
    <queryTableDeletedFields count="4">
      <deletedField name="لون القماش"/>
      <deletedField name="المقاس"/>
      <deletedField name="المسئول عن التسليم"/>
      <deletedField name="نوع الصنف2"/>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حافظة" xr10:uid="{48C28ED9-B4AF-4AD2-9798-0A3F40270EE3}" sourceName="المحافظة">
  <pivotTables>
    <pivotTable tabId="12" name="PivotTable16"/>
    <pivotTable tabId="12" name="PivotTable10"/>
    <pivotTable tabId="12" name="PivotTable11"/>
    <pivotTable tabId="12" name="PivotTable14"/>
    <pivotTable tabId="12" name="PivotTable15"/>
    <pivotTable tabId="12" name="PivotTable17"/>
    <pivotTable tabId="12" name="PivotTable18"/>
    <pivotTable tabId="12" name="PivotTable7"/>
    <pivotTable tabId="12" name="PivotTable8"/>
    <pivotTable tabId="12" name="PivotTable9"/>
  </pivotTables>
  <data>
    <tabular pivotCacheId="1122598745">
      <items count="10">
        <i x="8" s="1"/>
        <i x="1" s="1"/>
        <i x="9" s="1"/>
        <i x="4" s="1"/>
        <i x="3" s="1"/>
        <i x="0" s="1"/>
        <i x="7" s="1"/>
        <i x="5"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حالة" xr10:uid="{9A89F833-3413-481E-A10D-44BE0D768E97}" sourceName="الحالة">
  <pivotTables>
    <pivotTable tabId="12" name="PivotTable16"/>
    <pivotTable tabId="12" name="PivotTable10"/>
    <pivotTable tabId="12" name="PivotTable11"/>
    <pivotTable tabId="12" name="PivotTable14"/>
    <pivotTable tabId="12" name="PivotTable15"/>
    <pivotTable tabId="12" name="PivotTable17"/>
    <pivotTable tabId="12" name="PivotTable18"/>
    <pivotTable tabId="12" name="PivotTable7"/>
    <pivotTable tabId="12" name="PivotTable8"/>
    <pivotTable tabId="12" name="PivotTable9"/>
  </pivotTables>
  <data>
    <tabular pivotCacheId="112259874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منصة_البيع" xr10:uid="{2778B9AF-C39C-4D5B-9F49-473150225AA9}" sourceName="منصة البيع ">
  <pivotTables>
    <pivotTable tabId="12" name="PivotTable10"/>
  </pivotTables>
  <data>
    <tabular pivotCacheId="1122598745">
      <items count="8">
        <i x="5" s="1"/>
        <i x="4" s="1"/>
        <i x="3" s="1"/>
        <i x="1" s="1"/>
        <i x="2" s="1"/>
        <i x="7" s="1"/>
        <i x="6"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حافظة" xr10:uid="{342289EF-3687-47C4-83F3-E95D292AA5CA}" cache="Slicer_المحافظة" caption="المحافظة" columnCount="2" style="Slicer Style 2" rowHeight="234950"/>
  <slicer name="الحالة" xr10:uid="{F3915574-92F9-42A6-8D0F-BBAC99D2FDAA}" cache="Slicer_الحالة" caption="الحالة" columnCount="3" style="Slicer Style 2" rowHeight="234950"/>
  <slicer name="منصة البيع " xr10:uid="{EB5C2FB0-0006-436F-BDFB-2F2AEA4A4628}" cache="Slicer_منصة_البيع" caption="منصة البيع " columnCount="2" style="Slicer Style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5F9E854-23E0-4066-A989-81D9554215D3}" name="Table1" displayName="Table1" ref="A1:S127" tableType="queryTable" totalsRowShown="0">
  <autoFilter ref="A1:S127" xr:uid="{95F9E854-23E0-4066-A989-81D9554215D3}"/>
  <tableColumns count="19">
    <tableColumn id="1" xr3:uid="{AFAC2401-0EC5-4629-B34A-C77E6A1531AB}" uniqueName="1" name="أسم العميل" queryTableFieldId="1"/>
    <tableColumn id="2" xr3:uid="{BDCC5B87-0FB0-4B52-A0F8-526CE06726F8}" uniqueName="2" name="العنوان" queryTableFieldId="2"/>
    <tableColumn id="3" xr3:uid="{A333EA88-8361-42A4-AA45-CEB5D06B9952}" uniqueName="3" name="المحافظة" queryTableFieldId="3"/>
    <tableColumn id="4" xr3:uid="{97021B52-A30E-4696-8728-E9E4C2FBDC9A}" uniqueName="4" name="منصة البيع " queryTableFieldId="4"/>
    <tableColumn id="5" xr3:uid="{E6F71074-F126-4235-8AB6-2E0F83E2F775}" uniqueName="5" name="اسم الصنف" queryTableFieldId="5"/>
    <tableColumn id="8" xr3:uid="{A72E8929-4656-45BC-8C6D-1E4DCAE7E893}" uniqueName="8" name="اللون المعدن" queryTableFieldId="8"/>
    <tableColumn id="10" xr3:uid="{2623A6E3-E9C2-47B7-AF3C-2621F54F6331}" uniqueName="10" name="طريقة الدفع 2" queryTableFieldId="10"/>
    <tableColumn id="11" xr3:uid="{DA6038F7-AB22-496C-8AE9-F6CB90D90F77}" uniqueName="11" name="المنتج" queryTableFieldId="11"/>
    <tableColumn id="12" xr3:uid="{D38E2144-24DB-4E66-B90B-8F73E11C069A}" uniqueName="12" name="سعر البيع " queryTableFieldId="12"/>
    <tableColumn id="13" xr3:uid="{913DB9DE-E39D-4E25-B48F-9E5FEDFFB2B6}" uniqueName="13" name="طريقه الدفع " queryTableFieldId="13"/>
    <tableColumn id="14" xr3:uid="{A33C948E-34C3-45F6-B266-875138274DE8}" uniqueName="14" name="مدة التسليم الهدف" queryTableFieldId="14"/>
    <tableColumn id="15" xr3:uid="{3CD9553A-E2D4-404F-84F8-88505E154D22}" uniqueName="15" name="مدة التسليم الفعلي" queryTableFieldId="15"/>
    <tableColumn id="16" xr3:uid="{8F82A399-4317-4DE4-A10F-B9FBFBFACA21}" uniqueName="16" name="ميعاد الطلب" queryTableFieldId="16"/>
    <tableColumn id="17" xr3:uid="{1D56A57E-C047-4F89-911C-FBAF442D1276}" uniqueName="17" name="ميعاد التسليم" queryTableFieldId="17"/>
    <tableColumn id="18" xr3:uid="{C27D0E28-6E45-4F90-82BE-5BC81092192B}" uniqueName="18" name="تاريخ التسليم" queryTableFieldId="18"/>
    <tableColumn id="20" xr3:uid="{84A8DAF7-678C-43FC-9C24-888829E3CEAC}" uniqueName="20" name="الحالة" queryTableFieldId="20"/>
    <tableColumn id="21" xr3:uid="{6A08FEF4-E751-4D91-B081-70BA4FF236B3}" uniqueName="21" name="نوع العميل" queryTableFieldId="21"/>
    <tableColumn id="22" xr3:uid="{1FF4642A-141D-44CA-8F5E-B89A33444D6D}" uniqueName="22" name="التسليم في الموعد" queryTableFieldId="22"/>
    <tableColumn id="23" xr3:uid="{A80E518C-F76D-49B6-8935-D11C6F9FFF2D}" uniqueName="23" name="الصنف" queryTableFieldId="2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DEE45-E9D7-4D2C-B86A-99E0DABE7FC2}">
  <dimension ref="A1:F33"/>
  <sheetViews>
    <sheetView showGridLines="0" rightToLeft="1" tabSelected="1" topLeftCell="A26" zoomScale="90" zoomScaleNormal="90" workbookViewId="0">
      <selection activeCell="A26" sqref="A26"/>
    </sheetView>
  </sheetViews>
  <sheetFormatPr defaultRowHeight="14.4" x14ac:dyDescent="0.3"/>
  <cols>
    <col min="1" max="1" width="8.88671875" style="1"/>
    <col min="2" max="2" width="41.88671875" style="1" customWidth="1"/>
    <col min="3" max="16384" width="8.88671875" style="1"/>
  </cols>
  <sheetData>
    <row r="1" spans="1:2" x14ac:dyDescent="0.3">
      <c r="A1" s="9"/>
      <c r="B1" s="9"/>
    </row>
    <row r="2" spans="1:2" x14ac:dyDescent="0.3">
      <c r="A2" s="9"/>
      <c r="B2" s="9"/>
    </row>
    <row r="3" spans="1:2" s="10" customFormat="1" ht="24.6" x14ac:dyDescent="0.4"/>
    <row r="4" spans="1:2" s="12" customFormat="1" ht="18" x14ac:dyDescent="0.35">
      <c r="A4" s="11"/>
      <c r="B4" s="11"/>
    </row>
    <row r="5" spans="1:2" s="14" customFormat="1" x14ac:dyDescent="0.3">
      <c r="A5" s="13"/>
      <c r="B5" s="13"/>
    </row>
    <row r="6" spans="1:2" s="15" customFormat="1" ht="17.399999999999999" x14ac:dyDescent="0.3"/>
    <row r="7" spans="1:2" s="18" customFormat="1" ht="15.6" x14ac:dyDescent="0.3">
      <c r="A7" s="16"/>
      <c r="B7" s="17"/>
    </row>
    <row r="8" spans="1:2" s="18" customFormat="1" ht="15.6" x14ac:dyDescent="0.3">
      <c r="A8" s="17"/>
      <c r="B8" s="17"/>
    </row>
    <row r="9" spans="1:2" s="18" customFormat="1" ht="15.6" x14ac:dyDescent="0.3">
      <c r="A9" s="17"/>
      <c r="B9" s="17"/>
    </row>
    <row r="10" spans="1:2" s="18" customFormat="1" ht="15.6" x14ac:dyDescent="0.3">
      <c r="A10" s="17"/>
      <c r="B10" s="17"/>
    </row>
    <row r="11" spans="1:2" s="17" customFormat="1" ht="15.6" x14ac:dyDescent="0.3"/>
    <row r="12" spans="1:2" s="18" customFormat="1" ht="15.6" x14ac:dyDescent="0.3">
      <c r="A12" s="17"/>
      <c r="B12" s="17"/>
    </row>
    <row r="13" spans="1:2" s="18" customFormat="1" ht="15.6" x14ac:dyDescent="0.3">
      <c r="A13" s="17"/>
      <c r="B13" s="17"/>
    </row>
    <row r="14" spans="1:2" s="18" customFormat="1" ht="15.6" x14ac:dyDescent="0.3">
      <c r="A14" s="17"/>
      <c r="B14" s="17"/>
    </row>
    <row r="15" spans="1:2" s="18" customFormat="1" ht="15.6" x14ac:dyDescent="0.3">
      <c r="A15" s="17"/>
      <c r="B15" s="17"/>
    </row>
    <row r="16" spans="1:2" ht="15.6" x14ac:dyDescent="0.3">
      <c r="A16" s="17"/>
    </row>
    <row r="33" spans="6:6" x14ac:dyDescent="0.3">
      <c r="F33" s="2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EB012-669B-4777-8D28-B52AE00FF009}">
  <dimension ref="A1:BY27"/>
  <sheetViews>
    <sheetView topLeftCell="AE1" workbookViewId="0">
      <selection activeCell="AP3" sqref="AP3"/>
    </sheetView>
  </sheetViews>
  <sheetFormatPr defaultRowHeight="14.4" x14ac:dyDescent="0.3"/>
  <cols>
    <col min="2" max="2" width="14.5546875" bestFit="1" customWidth="1"/>
    <col min="3" max="3" width="6.33203125" bestFit="1" customWidth="1"/>
    <col min="10" max="10" width="12.6640625" bestFit="1" customWidth="1"/>
    <col min="11" max="11" width="7.6640625" bestFit="1" customWidth="1"/>
    <col min="18" max="18" width="17.77734375" bestFit="1" customWidth="1"/>
    <col min="19" max="19" width="6.33203125" bestFit="1" customWidth="1"/>
    <col min="25" max="25" width="12.5546875" bestFit="1" customWidth="1"/>
    <col min="26" max="26" width="16.77734375" bestFit="1" customWidth="1"/>
    <col min="27" max="27" width="17.88671875" bestFit="1" customWidth="1"/>
    <col min="28" max="28" width="3.33203125" bestFit="1" customWidth="1"/>
    <col min="29" max="29" width="3.77734375" bestFit="1" customWidth="1"/>
    <col min="30" max="30" width="8.6640625" bestFit="1" customWidth="1"/>
    <col min="31" max="31" width="9.109375" bestFit="1" customWidth="1"/>
    <col min="32" max="32" width="6.77734375" bestFit="1" customWidth="1"/>
    <col min="33" max="33" width="5.77734375" bestFit="1" customWidth="1"/>
    <col min="34" max="34" width="12.5546875" bestFit="1" customWidth="1"/>
    <col min="35" max="35" width="12.6640625" bestFit="1" customWidth="1"/>
    <col min="36" max="36" width="8" bestFit="1" customWidth="1"/>
    <col min="37" max="37" width="8.44140625" bestFit="1" customWidth="1"/>
    <col min="38" max="38" width="10.77734375" bestFit="1" customWidth="1"/>
    <col min="42" max="42" width="12.5546875" bestFit="1" customWidth="1"/>
    <col min="43" max="43" width="12.6640625" bestFit="1" customWidth="1"/>
    <col min="49" max="49" width="12.5546875" bestFit="1" customWidth="1"/>
    <col min="50" max="50" width="20.88671875" bestFit="1" customWidth="1"/>
    <col min="58" max="58" width="12.5546875" bestFit="1" customWidth="1"/>
    <col min="59" max="59" width="12.6640625" bestFit="1" customWidth="1"/>
    <col min="66" max="66" width="12.5546875" bestFit="1" customWidth="1"/>
    <col min="67" max="67" width="14.5546875" bestFit="1" customWidth="1"/>
    <col min="73" max="73" width="12.5546875" bestFit="1" customWidth="1"/>
    <col min="74" max="74" width="16.109375" bestFit="1" customWidth="1"/>
  </cols>
  <sheetData>
    <row r="1" spans="1:77"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row>
    <row r="2" spans="1:77" x14ac:dyDescent="0.3">
      <c r="A2" s="6"/>
      <c r="B2" s="6"/>
      <c r="C2" s="6" t="s">
        <v>187</v>
      </c>
      <c r="D2" s="6"/>
      <c r="E2" s="6"/>
      <c r="F2" s="6"/>
      <c r="G2" s="6"/>
      <c r="H2" s="6"/>
      <c r="I2" s="6"/>
      <c r="J2" s="6" t="s">
        <v>250</v>
      </c>
      <c r="K2" s="6"/>
      <c r="L2" s="6"/>
      <c r="M2" s="6"/>
      <c r="N2" s="6"/>
      <c r="O2" s="6"/>
      <c r="P2" s="6"/>
      <c r="Q2" s="6"/>
      <c r="R2" s="20" t="s">
        <v>189</v>
      </c>
      <c r="S2" s="20"/>
      <c r="T2" s="6"/>
      <c r="U2" s="6"/>
      <c r="V2" s="6"/>
      <c r="W2" s="6"/>
      <c r="X2" s="6"/>
      <c r="Y2" s="6"/>
      <c r="Z2" s="6" t="s">
        <v>253</v>
      </c>
      <c r="AA2" s="6"/>
      <c r="AB2" s="6"/>
      <c r="AC2" s="6"/>
      <c r="AD2" s="6"/>
      <c r="AE2" s="6"/>
      <c r="AF2" s="6"/>
      <c r="AG2" s="6"/>
      <c r="AH2" s="6"/>
      <c r="AI2" s="6"/>
      <c r="AJ2" s="6" t="s">
        <v>255</v>
      </c>
      <c r="AK2" s="6"/>
      <c r="AL2" s="6"/>
      <c r="AM2" s="6"/>
      <c r="AN2" s="6"/>
      <c r="AO2" s="6"/>
      <c r="AP2" s="6"/>
      <c r="AQ2" s="6"/>
      <c r="AR2" s="6" t="s">
        <v>254</v>
      </c>
      <c r="AS2" s="6"/>
      <c r="AT2" s="6"/>
      <c r="AU2" s="6"/>
      <c r="AV2" s="6"/>
      <c r="AW2" s="6"/>
      <c r="AX2" s="6" t="s">
        <v>260</v>
      </c>
      <c r="AY2" s="6"/>
      <c r="AZ2" s="6"/>
      <c r="BA2" s="6"/>
      <c r="BB2" s="6"/>
      <c r="BC2" s="6"/>
      <c r="BD2" s="6"/>
      <c r="BE2" s="6"/>
      <c r="BF2" s="6"/>
      <c r="BG2" s="6" t="s">
        <v>261</v>
      </c>
      <c r="BH2" s="6"/>
      <c r="BI2" s="6"/>
      <c r="BJ2" s="6"/>
      <c r="BK2" s="6"/>
      <c r="BL2" s="6"/>
      <c r="BM2" s="6"/>
      <c r="BN2" s="6"/>
      <c r="BO2" s="6" t="s">
        <v>262</v>
      </c>
      <c r="BP2" s="6"/>
      <c r="BQ2" s="6"/>
      <c r="BR2" s="6"/>
      <c r="BS2" s="6"/>
      <c r="BT2" s="6"/>
      <c r="BU2" s="6"/>
      <c r="BV2" s="6"/>
      <c r="BW2" s="6" t="s">
        <v>186</v>
      </c>
      <c r="BX2" s="6"/>
      <c r="BY2" s="6"/>
    </row>
    <row r="3" spans="1:77" x14ac:dyDescent="0.3">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4" t="s">
        <v>125</v>
      </c>
      <c r="AQ3" t="s">
        <v>249</v>
      </c>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row>
    <row r="4" spans="1:77" x14ac:dyDescent="0.3">
      <c r="F4" s="6"/>
      <c r="G4" s="6"/>
      <c r="N4" s="6"/>
      <c r="O4" s="6"/>
      <c r="R4" s="4" t="s">
        <v>125</v>
      </c>
      <c r="S4" t="s">
        <v>249</v>
      </c>
      <c r="V4" s="6"/>
      <c r="W4" s="6"/>
      <c r="AD4" s="6"/>
      <c r="AE4" s="6"/>
      <c r="AH4" s="4" t="s">
        <v>125</v>
      </c>
      <c r="AI4" t="s">
        <v>249</v>
      </c>
      <c r="AM4" s="6"/>
      <c r="AN4" s="6"/>
      <c r="AT4" s="6"/>
      <c r="AU4" s="6"/>
      <c r="BB4" s="6"/>
      <c r="BC4" s="6"/>
      <c r="BJ4" s="6"/>
      <c r="BK4" s="6"/>
      <c r="BR4" s="6"/>
      <c r="BS4" s="6"/>
    </row>
    <row r="5" spans="1:77" x14ac:dyDescent="0.3">
      <c r="B5" s="4" t="s">
        <v>125</v>
      </c>
      <c r="C5" t="s">
        <v>249</v>
      </c>
      <c r="F5" s="6"/>
      <c r="G5" s="6"/>
      <c r="N5" s="6"/>
      <c r="O5" s="6"/>
      <c r="V5" s="6"/>
      <c r="W5" s="6"/>
      <c r="Y5" s="4" t="s">
        <v>125</v>
      </c>
      <c r="Z5" t="s">
        <v>249</v>
      </c>
      <c r="AD5" s="6"/>
      <c r="AE5" s="6"/>
      <c r="AM5" s="6"/>
      <c r="AN5" s="6"/>
      <c r="AP5" s="4" t="s">
        <v>191</v>
      </c>
      <c r="AQ5" t="s">
        <v>251</v>
      </c>
      <c r="AT5" s="6"/>
      <c r="AU5" s="6"/>
      <c r="BB5" s="6"/>
      <c r="BC5" s="6"/>
      <c r="BJ5" s="6"/>
      <c r="BK5" s="6"/>
      <c r="BR5" s="6"/>
      <c r="BS5" s="6"/>
    </row>
    <row r="6" spans="1:77" x14ac:dyDescent="0.3">
      <c r="F6" s="6"/>
      <c r="G6" s="6"/>
      <c r="J6" t="s">
        <v>251</v>
      </c>
      <c r="N6" s="6"/>
      <c r="O6" s="6"/>
      <c r="R6" t="s">
        <v>190</v>
      </c>
      <c r="V6" s="6"/>
      <c r="W6" s="6"/>
      <c r="AD6" s="6"/>
      <c r="AE6" s="6"/>
      <c r="AH6" s="4" t="s">
        <v>191</v>
      </c>
      <c r="AI6" t="s">
        <v>251</v>
      </c>
      <c r="AM6" s="6"/>
      <c r="AN6" s="6"/>
      <c r="AP6" s="5" t="s">
        <v>113</v>
      </c>
      <c r="AQ6" s="2">
        <v>53</v>
      </c>
      <c r="AT6" s="6"/>
      <c r="AU6" s="6"/>
      <c r="BB6" s="6"/>
      <c r="BC6" s="6"/>
      <c r="BJ6" s="6"/>
      <c r="BK6" s="6"/>
      <c r="BR6" s="6"/>
      <c r="BS6" s="6"/>
    </row>
    <row r="7" spans="1:77" x14ac:dyDescent="0.3">
      <c r="B7" t="s">
        <v>188</v>
      </c>
      <c r="F7" s="6"/>
      <c r="G7" s="6"/>
      <c r="J7" s="2">
        <v>126</v>
      </c>
      <c r="N7" s="6"/>
      <c r="O7" s="6"/>
      <c r="R7" s="7">
        <v>10260.998535238095</v>
      </c>
      <c r="V7" s="6"/>
      <c r="W7" s="6"/>
      <c r="Y7" s="4" t="s">
        <v>191</v>
      </c>
      <c r="Z7" t="s">
        <v>252</v>
      </c>
      <c r="AD7" s="6"/>
      <c r="AE7" s="6"/>
      <c r="AH7" s="5" t="s">
        <v>104</v>
      </c>
      <c r="AI7" s="2">
        <v>1</v>
      </c>
      <c r="AM7" s="6"/>
      <c r="AN7" s="6"/>
      <c r="AP7" s="5" t="s">
        <v>112</v>
      </c>
      <c r="AQ7" s="2">
        <v>41</v>
      </c>
      <c r="AT7" s="6"/>
      <c r="AU7" s="6"/>
      <c r="AW7" s="4" t="s">
        <v>125</v>
      </c>
      <c r="AX7" t="s">
        <v>249</v>
      </c>
      <c r="BB7" s="6"/>
      <c r="BC7" s="6"/>
      <c r="BJ7" s="6"/>
      <c r="BK7" s="6"/>
      <c r="BR7" s="6"/>
      <c r="BS7" s="6"/>
    </row>
    <row r="8" spans="1:77" x14ac:dyDescent="0.3">
      <c r="B8" s="7">
        <v>1292885.81544</v>
      </c>
      <c r="F8" s="6"/>
      <c r="G8" s="6"/>
      <c r="N8" s="6"/>
      <c r="O8" s="6"/>
      <c r="V8" s="6"/>
      <c r="W8" s="6"/>
      <c r="Y8" s="5" t="s">
        <v>5</v>
      </c>
      <c r="Z8" s="2">
        <v>78</v>
      </c>
      <c r="AD8" s="6"/>
      <c r="AE8" s="6"/>
      <c r="AH8" s="5" t="s">
        <v>108</v>
      </c>
      <c r="AI8" s="2">
        <v>1</v>
      </c>
      <c r="AM8" s="6"/>
      <c r="AN8" s="6"/>
      <c r="AP8" s="5" t="s">
        <v>114</v>
      </c>
      <c r="AQ8" s="2">
        <v>11</v>
      </c>
      <c r="AT8" s="6"/>
      <c r="AU8" s="6"/>
      <c r="BB8" s="6"/>
      <c r="BC8" s="6"/>
      <c r="BJ8" s="6"/>
      <c r="BK8" s="6"/>
      <c r="BN8" s="4" t="s">
        <v>125</v>
      </c>
      <c r="BO8" t="s">
        <v>249</v>
      </c>
      <c r="BR8" s="6"/>
      <c r="BS8" s="6"/>
      <c r="BU8" s="4" t="s">
        <v>191</v>
      </c>
      <c r="BV8" t="s">
        <v>263</v>
      </c>
    </row>
    <row r="9" spans="1:77" x14ac:dyDescent="0.3">
      <c r="F9" s="6"/>
      <c r="G9" s="6"/>
      <c r="N9" s="6"/>
      <c r="O9" s="6"/>
      <c r="V9" s="6"/>
      <c r="W9" s="6"/>
      <c r="Y9" s="5" t="s">
        <v>36</v>
      </c>
      <c r="Z9" s="2">
        <v>16</v>
      </c>
      <c r="AD9" s="6"/>
      <c r="AE9" s="6"/>
      <c r="AH9" s="5" t="s">
        <v>139</v>
      </c>
      <c r="AI9" s="2">
        <v>1</v>
      </c>
      <c r="AM9" s="6"/>
      <c r="AN9" s="6"/>
      <c r="AP9" s="5" t="s">
        <v>116</v>
      </c>
      <c r="AQ9" s="2">
        <v>6</v>
      </c>
      <c r="AT9" s="6"/>
      <c r="AU9" s="6"/>
      <c r="AW9" s="4" t="s">
        <v>191</v>
      </c>
      <c r="AX9" t="s">
        <v>257</v>
      </c>
      <c r="BB9" s="6"/>
      <c r="BC9" s="6"/>
      <c r="BJ9" s="6"/>
      <c r="BK9" s="6"/>
      <c r="BR9" s="6"/>
      <c r="BS9" s="6"/>
      <c r="BU9" s="5" t="s">
        <v>202</v>
      </c>
      <c r="BV9" s="2">
        <v>91</v>
      </c>
    </row>
    <row r="10" spans="1:77" x14ac:dyDescent="0.3">
      <c r="F10" s="6"/>
      <c r="G10" s="6"/>
      <c r="N10" s="6"/>
      <c r="O10" s="6"/>
      <c r="V10" s="6"/>
      <c r="W10" s="6"/>
      <c r="Y10" s="5" t="s">
        <v>39</v>
      </c>
      <c r="Z10" s="2">
        <v>13</v>
      </c>
      <c r="AD10" s="6"/>
      <c r="AE10" s="6"/>
      <c r="AH10" s="5" t="s">
        <v>172</v>
      </c>
      <c r="AI10" s="2">
        <v>17</v>
      </c>
      <c r="AM10" s="6"/>
      <c r="AN10" s="6"/>
      <c r="AP10" s="5" t="s">
        <v>150</v>
      </c>
      <c r="AQ10" s="2">
        <v>4</v>
      </c>
      <c r="AT10" s="6"/>
      <c r="AU10" s="6"/>
      <c r="AW10" s="5" t="s">
        <v>259</v>
      </c>
      <c r="AX10" s="8">
        <v>0.44444444444444442</v>
      </c>
      <c r="BB10" s="6"/>
      <c r="BC10" s="6"/>
      <c r="BF10" s="4" t="s">
        <v>191</v>
      </c>
      <c r="BG10" t="s">
        <v>251</v>
      </c>
      <c r="BJ10" s="6"/>
      <c r="BK10" s="6"/>
      <c r="BN10" s="4" t="s">
        <v>191</v>
      </c>
      <c r="BO10" t="s">
        <v>188</v>
      </c>
      <c r="BR10" s="6"/>
      <c r="BS10" s="6"/>
      <c r="BU10" s="5" t="s">
        <v>204</v>
      </c>
      <c r="BV10" s="2">
        <v>35</v>
      </c>
    </row>
    <row r="11" spans="1:77" x14ac:dyDescent="0.3">
      <c r="F11" s="6"/>
      <c r="G11" s="6"/>
      <c r="N11" s="6"/>
      <c r="O11" s="6"/>
      <c r="V11" s="6"/>
      <c r="W11" s="6"/>
      <c r="Y11" s="5" t="s">
        <v>267</v>
      </c>
      <c r="Z11" s="2">
        <v>9</v>
      </c>
      <c r="AD11" s="6"/>
      <c r="AE11" s="6"/>
      <c r="AH11" s="5" t="s">
        <v>107</v>
      </c>
      <c r="AI11" s="2">
        <v>18</v>
      </c>
      <c r="AM11" s="6"/>
      <c r="AN11" s="6"/>
      <c r="AP11" s="5" t="s">
        <v>268</v>
      </c>
      <c r="AQ11" s="2">
        <v>2</v>
      </c>
      <c r="AT11" s="6"/>
      <c r="AU11" s="6"/>
      <c r="AW11" s="5" t="s">
        <v>258</v>
      </c>
      <c r="AX11" s="8">
        <v>0.55555555555555558</v>
      </c>
      <c r="BB11" s="6"/>
      <c r="BC11" s="6"/>
      <c r="BF11" s="5" t="s">
        <v>127</v>
      </c>
      <c r="BG11" s="8">
        <v>0.80952380952380953</v>
      </c>
      <c r="BJ11" s="6"/>
      <c r="BK11" s="6"/>
      <c r="BN11" s="5" t="s">
        <v>241</v>
      </c>
      <c r="BO11" s="2">
        <v>649550.90999999992</v>
      </c>
      <c r="BR11" s="6"/>
      <c r="BS11" s="6"/>
      <c r="BU11" s="5" t="s">
        <v>192</v>
      </c>
      <c r="BV11" s="2">
        <v>126</v>
      </c>
    </row>
    <row r="12" spans="1:77" x14ac:dyDescent="0.3">
      <c r="F12" s="6"/>
      <c r="G12" s="6"/>
      <c r="N12" s="6"/>
      <c r="O12" s="6"/>
      <c r="V12" s="6"/>
      <c r="W12" s="6"/>
      <c r="Y12" s="5" t="s">
        <v>137</v>
      </c>
      <c r="Z12" s="2">
        <v>4</v>
      </c>
      <c r="AD12" s="6"/>
      <c r="AE12" s="6"/>
      <c r="AH12" s="5" t="s">
        <v>101</v>
      </c>
      <c r="AI12" s="2">
        <v>88</v>
      </c>
      <c r="AM12" s="6"/>
      <c r="AN12" s="6"/>
      <c r="AP12" s="5" t="s">
        <v>118</v>
      </c>
      <c r="AQ12" s="2">
        <v>2</v>
      </c>
      <c r="AT12" s="6"/>
      <c r="AU12" s="6"/>
      <c r="AW12" s="5" t="s">
        <v>192</v>
      </c>
      <c r="AX12" s="8">
        <v>1</v>
      </c>
      <c r="BB12" s="6"/>
      <c r="BC12" s="6"/>
      <c r="BF12" s="5" t="s">
        <v>134</v>
      </c>
      <c r="BG12" s="8">
        <v>7.9365079365079361E-3</v>
      </c>
      <c r="BJ12" s="6"/>
      <c r="BK12" s="6"/>
      <c r="BN12" s="5" t="s">
        <v>237</v>
      </c>
      <c r="BO12" s="2">
        <v>245908</v>
      </c>
      <c r="BR12" s="6"/>
      <c r="BS12" s="6"/>
    </row>
    <row r="13" spans="1:77" x14ac:dyDescent="0.3">
      <c r="B13" s="19">
        <f>GETPIVOTDATA("سعر البيع ",$B$7)</f>
        <v>1292885.81544</v>
      </c>
      <c r="F13" s="6"/>
      <c r="G13" s="6"/>
      <c r="J13">
        <f>GETPIVOTDATA("الحالة",$J$6)</f>
        <v>126</v>
      </c>
      <c r="N13" s="6"/>
      <c r="O13" s="6"/>
      <c r="R13" s="19">
        <f>GETPIVOTDATA("سعر البيع ",$R$6)</f>
        <v>10260.998535238095</v>
      </c>
      <c r="V13" s="6"/>
      <c r="W13" s="6"/>
      <c r="Y13" s="5" t="s">
        <v>167</v>
      </c>
      <c r="Z13" s="2">
        <v>3</v>
      </c>
      <c r="AD13" s="6"/>
      <c r="AE13" s="6"/>
      <c r="AH13" s="5" t="s">
        <v>192</v>
      </c>
      <c r="AI13" s="2">
        <v>126</v>
      </c>
      <c r="AM13" s="6"/>
      <c r="AN13" s="6"/>
      <c r="AP13" s="5" t="s">
        <v>129</v>
      </c>
      <c r="AQ13" s="2">
        <v>2</v>
      </c>
      <c r="AT13" s="6"/>
      <c r="AU13" s="6"/>
      <c r="BB13" s="6"/>
      <c r="BC13" s="6"/>
      <c r="BF13" s="5" t="s">
        <v>162</v>
      </c>
      <c r="BG13" s="8">
        <v>0.18253968253968253</v>
      </c>
      <c r="BJ13" s="6"/>
      <c r="BK13" s="6"/>
      <c r="BN13" s="5" t="s">
        <v>266</v>
      </c>
      <c r="BO13" s="2">
        <v>89718</v>
      </c>
      <c r="BR13" s="6"/>
      <c r="BS13" s="6"/>
    </row>
    <row r="14" spans="1:77" x14ac:dyDescent="0.3">
      <c r="F14" s="6"/>
      <c r="G14" s="6"/>
      <c r="N14" s="6"/>
      <c r="O14" s="6"/>
      <c r="V14" s="6"/>
      <c r="W14" s="6"/>
      <c r="Y14" s="5" t="s">
        <v>264</v>
      </c>
      <c r="Z14" s="2">
        <v>2</v>
      </c>
      <c r="AD14" s="6"/>
      <c r="AE14" s="6"/>
      <c r="AM14" s="6"/>
      <c r="AN14" s="6"/>
      <c r="AP14" s="5" t="s">
        <v>146</v>
      </c>
      <c r="AQ14" s="2">
        <v>2</v>
      </c>
      <c r="AT14" s="6"/>
      <c r="AU14" s="6"/>
      <c r="BB14" s="6"/>
      <c r="BC14" s="6"/>
      <c r="BF14" s="5" t="s">
        <v>192</v>
      </c>
      <c r="BG14" s="8">
        <v>1</v>
      </c>
      <c r="BJ14" s="6"/>
      <c r="BK14" s="6"/>
      <c r="BN14" s="5" t="s">
        <v>137</v>
      </c>
      <c r="BO14" s="3">
        <v>72520.905440000002</v>
      </c>
      <c r="BR14" s="6"/>
      <c r="BS14" s="6"/>
    </row>
    <row r="15" spans="1:77" x14ac:dyDescent="0.3">
      <c r="F15" s="6"/>
      <c r="G15" s="6"/>
      <c r="N15" s="6"/>
      <c r="O15" s="6"/>
      <c r="V15" s="6"/>
      <c r="W15" s="6"/>
      <c r="Y15" s="5" t="s">
        <v>163</v>
      </c>
      <c r="Z15" s="2">
        <v>1</v>
      </c>
      <c r="AD15" s="6"/>
      <c r="AE15" s="6"/>
      <c r="AM15" s="6"/>
      <c r="AN15" s="6"/>
      <c r="AP15" s="5" t="s">
        <v>117</v>
      </c>
      <c r="AQ15" s="2">
        <v>2</v>
      </c>
      <c r="AT15" s="6"/>
      <c r="AU15" s="6"/>
      <c r="BB15" s="6"/>
      <c r="BC15" s="6"/>
      <c r="BJ15" s="6"/>
      <c r="BK15" s="6"/>
      <c r="BN15" s="5" t="s">
        <v>265</v>
      </c>
      <c r="BO15" s="2">
        <v>58966</v>
      </c>
      <c r="BR15" s="6"/>
      <c r="BS15" s="6"/>
    </row>
    <row r="16" spans="1:77" x14ac:dyDescent="0.3">
      <c r="F16" s="6"/>
      <c r="G16" s="6"/>
      <c r="N16" s="6"/>
      <c r="O16" s="6"/>
      <c r="V16" s="6"/>
      <c r="W16" s="6"/>
      <c r="Y16" s="5" t="s">
        <v>192</v>
      </c>
      <c r="Z16" s="2">
        <v>126</v>
      </c>
      <c r="AD16" s="6"/>
      <c r="AE16" s="6"/>
      <c r="AM16" s="6"/>
      <c r="AN16" s="6"/>
      <c r="AP16" s="5" t="s">
        <v>140</v>
      </c>
      <c r="AQ16" s="2">
        <v>1</v>
      </c>
      <c r="AT16" s="6"/>
      <c r="AU16" s="6"/>
      <c r="BB16" s="6"/>
      <c r="BC16" s="6"/>
      <c r="BJ16" s="6"/>
      <c r="BK16" s="6"/>
      <c r="BN16" s="5" t="s">
        <v>238</v>
      </c>
      <c r="BO16" s="2">
        <v>54762</v>
      </c>
      <c r="BR16" s="6"/>
      <c r="BS16" s="6"/>
    </row>
    <row r="17" spans="6:71" x14ac:dyDescent="0.3">
      <c r="F17" s="6"/>
      <c r="G17" s="6"/>
      <c r="N17" s="6"/>
      <c r="O17" s="6"/>
      <c r="V17" s="6"/>
      <c r="W17" s="6"/>
      <c r="AD17" s="6"/>
      <c r="AE17" s="6"/>
      <c r="AM17" s="6"/>
      <c r="AN17" s="6"/>
      <c r="AP17" s="5" t="s">
        <v>192</v>
      </c>
      <c r="AQ17" s="2">
        <v>126</v>
      </c>
      <c r="AT17" s="6"/>
      <c r="AU17" s="6"/>
      <c r="BB17" s="6"/>
      <c r="BC17" s="6"/>
      <c r="BJ17" s="6"/>
      <c r="BK17" s="6"/>
      <c r="BN17" s="5" t="s">
        <v>242</v>
      </c>
      <c r="BO17" s="2">
        <v>42533</v>
      </c>
      <c r="BR17" s="6"/>
      <c r="BS17" s="6"/>
    </row>
    <row r="18" spans="6:71" x14ac:dyDescent="0.3">
      <c r="F18" s="6"/>
      <c r="G18" s="6"/>
      <c r="N18" s="6"/>
      <c r="O18" s="6"/>
      <c r="V18" s="6"/>
      <c r="W18" s="6"/>
      <c r="AD18" s="6"/>
      <c r="AE18" s="6"/>
      <c r="AM18" s="6"/>
      <c r="AN18" s="6"/>
      <c r="AT18" s="6"/>
      <c r="AU18" s="6"/>
      <c r="BB18" s="6"/>
      <c r="BC18" s="6"/>
      <c r="BJ18" s="6"/>
      <c r="BK18" s="6"/>
      <c r="BN18" s="5" t="s">
        <v>240</v>
      </c>
      <c r="BO18" s="2">
        <v>41640</v>
      </c>
      <c r="BR18" s="6"/>
      <c r="BS18" s="6"/>
    </row>
    <row r="19" spans="6:71" x14ac:dyDescent="0.3">
      <c r="F19" s="6"/>
      <c r="G19" s="6"/>
      <c r="N19" s="6"/>
      <c r="O19" s="6"/>
      <c r="V19" s="6"/>
      <c r="W19" s="6"/>
      <c r="AD19" s="6"/>
      <c r="AE19" s="6"/>
      <c r="AM19" s="6"/>
      <c r="AN19" s="6"/>
      <c r="AT19" s="6"/>
      <c r="AU19" s="6"/>
      <c r="BB19" s="6"/>
      <c r="BC19" s="6"/>
      <c r="BJ19" s="6"/>
      <c r="BK19" s="6"/>
      <c r="BN19" s="5" t="s">
        <v>239</v>
      </c>
      <c r="BO19" s="2">
        <v>24288</v>
      </c>
      <c r="BR19" s="6"/>
      <c r="BS19" s="6"/>
    </row>
    <row r="20" spans="6:71" x14ac:dyDescent="0.3">
      <c r="F20" s="6"/>
      <c r="G20" s="6"/>
      <c r="N20" s="6"/>
      <c r="O20" s="6"/>
      <c r="V20" s="6"/>
      <c r="W20" s="6"/>
      <c r="AD20" s="6"/>
      <c r="AE20" s="6"/>
      <c r="AM20" s="6"/>
      <c r="AN20" s="6"/>
      <c r="AT20" s="6"/>
      <c r="AU20" s="6"/>
      <c r="BB20" s="6"/>
      <c r="BC20" s="6"/>
      <c r="BJ20" s="6"/>
      <c r="BK20" s="6"/>
      <c r="BN20" s="5" t="s">
        <v>243</v>
      </c>
      <c r="BO20" s="2">
        <v>12999</v>
      </c>
      <c r="BR20" s="6"/>
      <c r="BS20" s="6"/>
    </row>
    <row r="21" spans="6:71" x14ac:dyDescent="0.3">
      <c r="F21" s="6"/>
      <c r="G21" s="6"/>
      <c r="N21" s="6"/>
      <c r="O21" s="6"/>
      <c r="V21" s="6"/>
      <c r="W21" s="6"/>
      <c r="AD21" s="6"/>
      <c r="AE21" s="6"/>
      <c r="AM21" s="6"/>
      <c r="AN21" s="6"/>
      <c r="AT21" s="6"/>
      <c r="AU21" s="6"/>
      <c r="BB21" s="6"/>
      <c r="BC21" s="6"/>
      <c r="BJ21" s="6"/>
      <c r="BK21" s="6"/>
      <c r="BN21" s="5" t="s">
        <v>192</v>
      </c>
      <c r="BO21" s="3">
        <v>1292885.81544</v>
      </c>
      <c r="BR21" s="6"/>
      <c r="BS21" s="6"/>
    </row>
    <row r="22" spans="6:71" x14ac:dyDescent="0.3">
      <c r="F22" s="6"/>
      <c r="G22" s="6"/>
      <c r="N22" s="6"/>
      <c r="O22" s="6"/>
      <c r="V22" s="6"/>
      <c r="W22" s="6"/>
      <c r="AD22" s="6"/>
      <c r="AE22" s="6"/>
      <c r="AM22" s="6"/>
      <c r="AN22" s="6"/>
      <c r="AT22" s="6"/>
      <c r="AU22" s="6"/>
      <c r="BB22" s="6"/>
      <c r="BC22" s="6"/>
      <c r="BJ22" s="6"/>
      <c r="BK22" s="6"/>
      <c r="BR22" s="6"/>
      <c r="BS22" s="6"/>
    </row>
    <row r="23" spans="6:71" x14ac:dyDescent="0.3">
      <c r="F23" s="6"/>
      <c r="G23" s="6"/>
      <c r="N23" s="6"/>
      <c r="O23" s="6"/>
      <c r="V23" s="6"/>
      <c r="W23" s="6"/>
      <c r="AD23" s="6"/>
      <c r="AE23" s="6"/>
      <c r="AM23" s="6"/>
      <c r="AN23" s="6"/>
      <c r="AT23" s="6"/>
      <c r="AU23" s="6"/>
      <c r="BB23" s="6"/>
      <c r="BC23" s="6"/>
      <c r="BJ23" s="6"/>
      <c r="BK23" s="6"/>
      <c r="BR23" s="6"/>
      <c r="BS23" s="6"/>
    </row>
    <row r="24" spans="6:71" x14ac:dyDescent="0.3">
      <c r="F24" s="6"/>
      <c r="G24" s="6"/>
      <c r="N24" s="6"/>
      <c r="O24" s="6"/>
      <c r="V24" s="6"/>
      <c r="W24" s="6"/>
      <c r="AD24" s="6"/>
      <c r="AE24" s="6"/>
      <c r="AM24" s="6"/>
      <c r="AN24" s="6"/>
      <c r="AT24" s="6"/>
      <c r="AU24" s="6"/>
      <c r="BB24" s="6"/>
      <c r="BC24" s="6"/>
      <c r="BJ24" s="6"/>
      <c r="BK24" s="6"/>
      <c r="BR24" s="6"/>
      <c r="BS24" s="6"/>
    </row>
    <row r="25" spans="6:71" x14ac:dyDescent="0.3">
      <c r="F25" s="6"/>
      <c r="G25" s="6"/>
      <c r="N25" s="6"/>
      <c r="O25" s="6"/>
      <c r="V25" s="6"/>
      <c r="W25" s="6"/>
      <c r="AD25" s="6"/>
      <c r="AE25" s="6"/>
      <c r="AM25" s="6"/>
      <c r="AN25" s="6"/>
      <c r="AT25" s="6"/>
      <c r="AU25" s="6"/>
      <c r="BB25" s="6"/>
      <c r="BC25" s="6"/>
      <c r="BJ25" s="6"/>
      <c r="BK25" s="6"/>
      <c r="BR25" s="6"/>
      <c r="BS25" s="6"/>
    </row>
    <row r="26" spans="6:71" x14ac:dyDescent="0.3">
      <c r="F26" s="6"/>
      <c r="G26" s="6"/>
      <c r="N26" s="6"/>
      <c r="O26" s="6"/>
      <c r="V26" s="6"/>
      <c r="W26" s="6"/>
      <c r="AD26" s="6"/>
      <c r="AE26" s="6"/>
      <c r="AM26" s="6"/>
      <c r="AN26" s="6"/>
      <c r="AT26" s="6"/>
      <c r="AU26" s="6"/>
      <c r="BB26" s="6"/>
      <c r="BC26" s="6"/>
      <c r="BJ26" s="6"/>
      <c r="BK26" s="6"/>
      <c r="BR26" s="6"/>
      <c r="BS26" s="6"/>
    </row>
    <row r="27" spans="6:71" x14ac:dyDescent="0.3">
      <c r="F27" s="6"/>
      <c r="G27" s="6"/>
      <c r="N27" s="6"/>
      <c r="O27" s="6"/>
      <c r="V27" s="6"/>
      <c r="W27" s="6"/>
      <c r="AD27" s="6"/>
      <c r="AE27" s="6"/>
      <c r="AT27" s="6"/>
      <c r="AU27" s="6"/>
      <c r="BB27" s="6"/>
      <c r="BC27" s="6"/>
    </row>
  </sheetData>
  <mergeCells count="1">
    <mergeCell ref="R2:S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0243B-CBEE-42F2-9706-E52C2469BB83}">
  <dimension ref="A1:S127"/>
  <sheetViews>
    <sheetView workbookViewId="0">
      <selection activeCell="G9" sqref="G9"/>
    </sheetView>
  </sheetViews>
  <sheetFormatPr defaultRowHeight="14.4" x14ac:dyDescent="0.3"/>
  <cols>
    <col min="1" max="1" width="14.5546875" bestFit="1" customWidth="1"/>
    <col min="2" max="2" width="30" bestFit="1" customWidth="1"/>
    <col min="3" max="3" width="9.21875" bestFit="1" customWidth="1"/>
    <col min="4" max="4" width="8.88671875" bestFit="1" customWidth="1"/>
    <col min="5" max="5" width="9.109375" bestFit="1" customWidth="1"/>
    <col min="6" max="6" width="9.44140625" bestFit="1" customWidth="1"/>
    <col min="7" max="7" width="10.77734375" bestFit="1" customWidth="1"/>
    <col min="8" max="8" width="34.44140625" bestFit="1" customWidth="1"/>
    <col min="9" max="9" width="11" bestFit="1" customWidth="1"/>
    <col min="10" max="10" width="9.77734375" bestFit="1" customWidth="1"/>
    <col min="11" max="11" width="14" bestFit="1" customWidth="1"/>
    <col min="12" max="12" width="13.6640625" bestFit="1" customWidth="1"/>
    <col min="13" max="13" width="9.5546875" bestFit="1" customWidth="1"/>
    <col min="14" max="14" width="10.21875" bestFit="1" customWidth="1"/>
    <col min="15" max="15" width="10.44140625" bestFit="1" customWidth="1"/>
    <col min="16" max="16" width="7.6640625" bestFit="1" customWidth="1"/>
    <col min="17" max="17" width="8.21875" bestFit="1" customWidth="1"/>
    <col min="18" max="18" width="12.88671875" bestFit="1" customWidth="1"/>
    <col min="19" max="19" width="6.21875" bestFit="1" customWidth="1"/>
  </cols>
  <sheetData>
    <row r="1" spans="1:19" x14ac:dyDescent="0.3">
      <c r="A1" t="s">
        <v>0</v>
      </c>
      <c r="B1" t="s">
        <v>1</v>
      </c>
      <c r="C1" t="s">
        <v>236</v>
      </c>
      <c r="D1" t="s">
        <v>4</v>
      </c>
      <c r="E1" t="s">
        <v>198</v>
      </c>
      <c r="F1" t="s">
        <v>119</v>
      </c>
      <c r="G1" t="s">
        <v>244</v>
      </c>
      <c r="H1" t="s">
        <v>2</v>
      </c>
      <c r="I1" t="s">
        <v>6</v>
      </c>
      <c r="J1" t="s">
        <v>7</v>
      </c>
      <c r="K1" t="s">
        <v>245</v>
      </c>
      <c r="L1" t="s">
        <v>246</v>
      </c>
      <c r="M1" t="s">
        <v>9</v>
      </c>
      <c r="N1" t="s">
        <v>8</v>
      </c>
      <c r="O1" t="s">
        <v>3</v>
      </c>
      <c r="P1" t="s">
        <v>125</v>
      </c>
      <c r="Q1" t="s">
        <v>200</v>
      </c>
      <c r="R1" t="s">
        <v>256</v>
      </c>
      <c r="S1" t="s">
        <v>199</v>
      </c>
    </row>
    <row r="2" spans="1:19" x14ac:dyDescent="0.3">
      <c r="A2" t="s">
        <v>201</v>
      </c>
      <c r="B2" t="s">
        <v>10</v>
      </c>
      <c r="C2" t="s">
        <v>237</v>
      </c>
      <c r="D2" t="s">
        <v>5</v>
      </c>
      <c r="E2" t="s">
        <v>102</v>
      </c>
      <c r="F2" t="s">
        <v>112</v>
      </c>
      <c r="G2" t="s">
        <v>12</v>
      </c>
      <c r="H2" t="s">
        <v>11</v>
      </c>
      <c r="I2">
        <v>10160</v>
      </c>
      <c r="J2" t="s">
        <v>12</v>
      </c>
      <c r="K2">
        <v>0</v>
      </c>
      <c r="L2">
        <v>14</v>
      </c>
      <c r="M2">
        <v>45500</v>
      </c>
      <c r="O2">
        <v>45514</v>
      </c>
      <c r="P2" t="s">
        <v>127</v>
      </c>
      <c r="Q2" t="s">
        <v>202</v>
      </c>
      <c r="R2" t="s">
        <v>259</v>
      </c>
      <c r="S2" t="s">
        <v>101</v>
      </c>
    </row>
    <row r="3" spans="1:19" x14ac:dyDescent="0.3">
      <c r="A3" t="s">
        <v>13</v>
      </c>
      <c r="B3" t="s">
        <v>14</v>
      </c>
      <c r="C3" t="s">
        <v>238</v>
      </c>
      <c r="D3" t="s">
        <v>5</v>
      </c>
      <c r="E3" t="s">
        <v>102</v>
      </c>
      <c r="F3" t="s">
        <v>113</v>
      </c>
      <c r="G3" t="s">
        <v>247</v>
      </c>
      <c r="H3" t="s">
        <v>15</v>
      </c>
      <c r="I3">
        <v>10160</v>
      </c>
      <c r="J3">
        <v>9749</v>
      </c>
      <c r="K3">
        <v>0</v>
      </c>
      <c r="L3">
        <v>14</v>
      </c>
      <c r="M3">
        <v>45501</v>
      </c>
      <c r="O3">
        <v>45515</v>
      </c>
      <c r="P3" t="s">
        <v>127</v>
      </c>
      <c r="Q3" t="s">
        <v>202</v>
      </c>
      <c r="R3" t="s">
        <v>259</v>
      </c>
      <c r="S3" t="s">
        <v>101</v>
      </c>
    </row>
    <row r="4" spans="1:19" x14ac:dyDescent="0.3">
      <c r="A4" t="s">
        <v>16</v>
      </c>
      <c r="B4" t="s">
        <v>17</v>
      </c>
      <c r="C4" t="s">
        <v>239</v>
      </c>
      <c r="D4" t="s">
        <v>5</v>
      </c>
      <c r="E4" t="s">
        <v>111</v>
      </c>
      <c r="F4" t="s">
        <v>114</v>
      </c>
      <c r="G4" t="s">
        <v>247</v>
      </c>
      <c r="H4" t="s">
        <v>18</v>
      </c>
      <c r="I4">
        <v>11455</v>
      </c>
      <c r="J4">
        <v>10067.68</v>
      </c>
      <c r="K4">
        <v>0</v>
      </c>
      <c r="L4">
        <v>0</v>
      </c>
      <c r="M4">
        <v>45500</v>
      </c>
      <c r="P4" t="s">
        <v>162</v>
      </c>
      <c r="Q4" t="s">
        <v>202</v>
      </c>
      <c r="R4" t="s">
        <v>258</v>
      </c>
      <c r="S4" t="s">
        <v>101</v>
      </c>
    </row>
    <row r="5" spans="1:19" x14ac:dyDescent="0.3">
      <c r="A5" t="s">
        <v>19</v>
      </c>
      <c r="B5" t="s">
        <v>20</v>
      </c>
      <c r="C5" t="s">
        <v>240</v>
      </c>
      <c r="D5" t="s">
        <v>5</v>
      </c>
      <c r="F5" t="s">
        <v>113</v>
      </c>
      <c r="G5" t="s">
        <v>12</v>
      </c>
      <c r="H5" t="s">
        <v>21</v>
      </c>
      <c r="I5">
        <v>8642</v>
      </c>
      <c r="J5" t="s">
        <v>12</v>
      </c>
      <c r="K5">
        <v>13</v>
      </c>
      <c r="L5">
        <v>2</v>
      </c>
      <c r="M5">
        <v>45529</v>
      </c>
      <c r="N5">
        <v>45542</v>
      </c>
      <c r="O5">
        <v>45531</v>
      </c>
      <c r="P5" t="s">
        <v>127</v>
      </c>
      <c r="Q5" t="s">
        <v>202</v>
      </c>
      <c r="R5" t="s">
        <v>258</v>
      </c>
      <c r="S5" t="s">
        <v>172</v>
      </c>
    </row>
    <row r="6" spans="1:19" x14ac:dyDescent="0.3">
      <c r="A6" t="s">
        <v>203</v>
      </c>
      <c r="B6" t="s">
        <v>17</v>
      </c>
      <c r="C6" t="s">
        <v>239</v>
      </c>
      <c r="D6" t="s">
        <v>5</v>
      </c>
      <c r="E6" t="s">
        <v>111</v>
      </c>
      <c r="F6" t="s">
        <v>116</v>
      </c>
      <c r="G6" t="s">
        <v>247</v>
      </c>
      <c r="H6" t="s">
        <v>22</v>
      </c>
      <c r="I6">
        <v>12833</v>
      </c>
      <c r="J6">
        <v>12974.22</v>
      </c>
      <c r="K6">
        <v>15</v>
      </c>
      <c r="L6">
        <v>0</v>
      </c>
      <c r="M6">
        <v>45520</v>
      </c>
      <c r="N6">
        <v>45535</v>
      </c>
      <c r="P6" t="s">
        <v>162</v>
      </c>
      <c r="Q6" t="s">
        <v>202</v>
      </c>
      <c r="R6" t="s">
        <v>258</v>
      </c>
      <c r="S6" t="s">
        <v>101</v>
      </c>
    </row>
    <row r="7" spans="1:19" x14ac:dyDescent="0.3">
      <c r="A7" t="s">
        <v>36</v>
      </c>
      <c r="B7" t="s">
        <v>273</v>
      </c>
      <c r="C7" t="s">
        <v>266</v>
      </c>
      <c r="D7" t="s">
        <v>36</v>
      </c>
      <c r="E7" t="s">
        <v>248</v>
      </c>
      <c r="F7" t="s">
        <v>268</v>
      </c>
      <c r="G7" t="s">
        <v>12</v>
      </c>
      <c r="H7" t="s">
        <v>23</v>
      </c>
      <c r="I7">
        <v>14550</v>
      </c>
      <c r="J7" t="s">
        <v>12</v>
      </c>
      <c r="K7">
        <v>20</v>
      </c>
      <c r="L7">
        <v>22</v>
      </c>
      <c r="M7">
        <v>45518</v>
      </c>
      <c r="N7">
        <v>45538</v>
      </c>
      <c r="O7">
        <v>45540</v>
      </c>
      <c r="P7" t="s">
        <v>127</v>
      </c>
      <c r="Q7" t="s">
        <v>204</v>
      </c>
      <c r="R7" t="s">
        <v>259</v>
      </c>
      <c r="S7" t="s">
        <v>107</v>
      </c>
    </row>
    <row r="8" spans="1:19" x14ac:dyDescent="0.3">
      <c r="A8" t="s">
        <v>205</v>
      </c>
      <c r="B8" t="s">
        <v>24</v>
      </c>
      <c r="C8" t="s">
        <v>241</v>
      </c>
      <c r="D8" t="s">
        <v>167</v>
      </c>
      <c r="E8" t="s">
        <v>248</v>
      </c>
      <c r="F8" t="s">
        <v>268</v>
      </c>
      <c r="G8" t="s">
        <v>247</v>
      </c>
      <c r="H8" t="s">
        <v>23</v>
      </c>
      <c r="I8">
        <v>12000</v>
      </c>
      <c r="J8">
        <v>12000</v>
      </c>
      <c r="K8">
        <v>3</v>
      </c>
      <c r="L8">
        <v>2</v>
      </c>
      <c r="M8">
        <v>45521</v>
      </c>
      <c r="N8">
        <v>45524</v>
      </c>
      <c r="O8">
        <v>45523</v>
      </c>
      <c r="P8" t="s">
        <v>127</v>
      </c>
      <c r="Q8" t="s">
        <v>202</v>
      </c>
      <c r="R8" t="s">
        <v>258</v>
      </c>
      <c r="S8" t="s">
        <v>107</v>
      </c>
    </row>
    <row r="9" spans="1:19" x14ac:dyDescent="0.3">
      <c r="A9" t="s">
        <v>13</v>
      </c>
      <c r="B9" t="s">
        <v>25</v>
      </c>
      <c r="C9" t="s">
        <v>237</v>
      </c>
      <c r="D9" t="s">
        <v>5</v>
      </c>
      <c r="E9" t="s">
        <v>103</v>
      </c>
      <c r="F9" t="s">
        <v>112</v>
      </c>
      <c r="G9" t="s">
        <v>12</v>
      </c>
      <c r="H9" t="s">
        <v>26</v>
      </c>
      <c r="I9">
        <v>7228</v>
      </c>
      <c r="J9" t="s">
        <v>12</v>
      </c>
      <c r="K9">
        <v>9</v>
      </c>
      <c r="L9">
        <v>16</v>
      </c>
      <c r="M9">
        <v>45529</v>
      </c>
      <c r="N9">
        <v>45538</v>
      </c>
      <c r="O9">
        <v>45545</v>
      </c>
      <c r="P9" t="s">
        <v>127</v>
      </c>
      <c r="Q9" t="s">
        <v>202</v>
      </c>
      <c r="R9" t="s">
        <v>259</v>
      </c>
      <c r="S9" t="s">
        <v>101</v>
      </c>
    </row>
    <row r="10" spans="1:19" x14ac:dyDescent="0.3">
      <c r="A10" t="s">
        <v>28</v>
      </c>
      <c r="B10" t="s">
        <v>27</v>
      </c>
      <c r="C10" t="s">
        <v>241</v>
      </c>
      <c r="D10" t="s">
        <v>267</v>
      </c>
      <c r="E10" t="s">
        <v>106</v>
      </c>
      <c r="F10" t="s">
        <v>112</v>
      </c>
      <c r="G10" t="s">
        <v>247</v>
      </c>
      <c r="H10" t="s">
        <v>29</v>
      </c>
      <c r="I10">
        <v>22000</v>
      </c>
      <c r="J10">
        <v>22000</v>
      </c>
      <c r="K10">
        <v>13</v>
      </c>
      <c r="L10">
        <v>29</v>
      </c>
      <c r="M10">
        <v>45523</v>
      </c>
      <c r="N10">
        <v>45536</v>
      </c>
      <c r="O10">
        <v>45552</v>
      </c>
      <c r="P10" t="s">
        <v>127</v>
      </c>
      <c r="Q10" t="s">
        <v>204</v>
      </c>
      <c r="R10" t="s">
        <v>259</v>
      </c>
      <c r="S10" t="s">
        <v>104</v>
      </c>
    </row>
    <row r="11" spans="1:19" x14ac:dyDescent="0.3">
      <c r="A11" t="s">
        <v>28</v>
      </c>
      <c r="B11" t="s">
        <v>27</v>
      </c>
      <c r="C11" t="s">
        <v>241</v>
      </c>
      <c r="D11" t="s">
        <v>267</v>
      </c>
      <c r="E11" t="s">
        <v>105</v>
      </c>
      <c r="F11" t="s">
        <v>112</v>
      </c>
      <c r="G11" t="s">
        <v>247</v>
      </c>
      <c r="H11" t="s">
        <v>30</v>
      </c>
      <c r="I11">
        <v>16000</v>
      </c>
      <c r="J11">
        <v>16000</v>
      </c>
      <c r="K11">
        <v>0</v>
      </c>
      <c r="L11">
        <v>0</v>
      </c>
      <c r="P11" t="s">
        <v>162</v>
      </c>
      <c r="Q11" t="s">
        <v>204</v>
      </c>
      <c r="R11" t="s">
        <v>258</v>
      </c>
      <c r="S11" t="s">
        <v>107</v>
      </c>
    </row>
    <row r="12" spans="1:19" x14ac:dyDescent="0.3">
      <c r="A12" t="s">
        <v>28</v>
      </c>
      <c r="B12" t="s">
        <v>31</v>
      </c>
      <c r="C12" t="s">
        <v>241</v>
      </c>
      <c r="D12" t="s">
        <v>267</v>
      </c>
      <c r="E12" t="s">
        <v>105</v>
      </c>
      <c r="F12" t="s">
        <v>112</v>
      </c>
      <c r="G12" t="s">
        <v>247</v>
      </c>
      <c r="H12" t="s">
        <v>32</v>
      </c>
      <c r="I12">
        <v>6000</v>
      </c>
      <c r="J12">
        <v>12000</v>
      </c>
      <c r="K12">
        <v>21</v>
      </c>
      <c r="L12">
        <v>23</v>
      </c>
      <c r="M12">
        <v>45529</v>
      </c>
      <c r="N12">
        <v>45550</v>
      </c>
      <c r="O12">
        <v>45552</v>
      </c>
      <c r="P12" t="s">
        <v>127</v>
      </c>
      <c r="Q12" t="s">
        <v>204</v>
      </c>
      <c r="R12" t="s">
        <v>259</v>
      </c>
      <c r="S12" t="s">
        <v>107</v>
      </c>
    </row>
    <row r="13" spans="1:19" x14ac:dyDescent="0.3">
      <c r="A13" t="s">
        <v>28</v>
      </c>
      <c r="B13" t="s">
        <v>31</v>
      </c>
      <c r="C13" t="s">
        <v>241</v>
      </c>
      <c r="D13" t="s">
        <v>267</v>
      </c>
      <c r="E13" t="s">
        <v>105</v>
      </c>
      <c r="F13" t="s">
        <v>112</v>
      </c>
      <c r="G13" t="s">
        <v>247</v>
      </c>
      <c r="H13" t="s">
        <v>32</v>
      </c>
      <c r="I13">
        <v>6000</v>
      </c>
      <c r="J13">
        <v>12000</v>
      </c>
      <c r="K13">
        <v>21</v>
      </c>
      <c r="L13">
        <v>23</v>
      </c>
      <c r="M13">
        <v>45529</v>
      </c>
      <c r="N13">
        <v>45550</v>
      </c>
      <c r="O13">
        <v>45552</v>
      </c>
      <c r="P13" t="s">
        <v>127</v>
      </c>
      <c r="Q13" t="s">
        <v>204</v>
      </c>
      <c r="R13" t="s">
        <v>259</v>
      </c>
      <c r="S13" t="s">
        <v>107</v>
      </c>
    </row>
    <row r="14" spans="1:19" x14ac:dyDescent="0.3">
      <c r="A14" t="s">
        <v>206</v>
      </c>
      <c r="B14" t="s">
        <v>33</v>
      </c>
      <c r="C14" t="s">
        <v>241</v>
      </c>
      <c r="D14" t="s">
        <v>5</v>
      </c>
      <c r="E14" t="s">
        <v>111</v>
      </c>
      <c r="F14" t="s">
        <v>112</v>
      </c>
      <c r="G14" t="s">
        <v>247</v>
      </c>
      <c r="H14" t="s">
        <v>34</v>
      </c>
      <c r="I14">
        <v>10499</v>
      </c>
      <c r="J14">
        <v>8924</v>
      </c>
      <c r="K14">
        <v>15</v>
      </c>
      <c r="L14">
        <v>7</v>
      </c>
      <c r="M14">
        <v>45536</v>
      </c>
      <c r="N14">
        <v>45551</v>
      </c>
      <c r="O14">
        <v>45543</v>
      </c>
      <c r="P14" t="s">
        <v>127</v>
      </c>
      <c r="Q14" t="s">
        <v>202</v>
      </c>
      <c r="R14" t="s">
        <v>258</v>
      </c>
      <c r="S14" t="s">
        <v>101</v>
      </c>
    </row>
    <row r="15" spans="1:19" x14ac:dyDescent="0.3">
      <c r="A15" t="s">
        <v>207</v>
      </c>
      <c r="B15" t="s">
        <v>25</v>
      </c>
      <c r="C15" t="s">
        <v>237</v>
      </c>
      <c r="D15" t="s">
        <v>5</v>
      </c>
      <c r="E15" t="s">
        <v>103</v>
      </c>
      <c r="F15" t="s">
        <v>112</v>
      </c>
      <c r="G15" t="s">
        <v>247</v>
      </c>
      <c r="H15" t="s">
        <v>46</v>
      </c>
      <c r="I15">
        <v>7295</v>
      </c>
      <c r="J15">
        <v>5895</v>
      </c>
      <c r="K15">
        <v>9</v>
      </c>
      <c r="L15">
        <v>0</v>
      </c>
      <c r="M15">
        <v>45540</v>
      </c>
      <c r="N15">
        <v>45549</v>
      </c>
      <c r="P15" t="s">
        <v>162</v>
      </c>
      <c r="Q15" t="s">
        <v>202</v>
      </c>
      <c r="R15" t="s">
        <v>258</v>
      </c>
      <c r="S15" t="s">
        <v>101</v>
      </c>
    </row>
    <row r="16" spans="1:19" x14ac:dyDescent="0.3">
      <c r="A16" t="s">
        <v>208</v>
      </c>
      <c r="B16" t="s">
        <v>43</v>
      </c>
      <c r="C16" t="s">
        <v>241</v>
      </c>
      <c r="D16" t="s">
        <v>5</v>
      </c>
      <c r="E16" t="s">
        <v>122</v>
      </c>
      <c r="F16" t="s">
        <v>113</v>
      </c>
      <c r="G16" t="s">
        <v>12</v>
      </c>
      <c r="H16" t="s">
        <v>44</v>
      </c>
      <c r="I16">
        <v>7849</v>
      </c>
      <c r="J16" t="s">
        <v>12</v>
      </c>
      <c r="K16">
        <v>12</v>
      </c>
      <c r="L16">
        <v>21</v>
      </c>
      <c r="M16">
        <v>45539</v>
      </c>
      <c r="N16">
        <v>45551</v>
      </c>
      <c r="O16">
        <v>45560</v>
      </c>
      <c r="P16" t="s">
        <v>134</v>
      </c>
      <c r="Q16" t="s">
        <v>202</v>
      </c>
      <c r="R16" t="s">
        <v>259</v>
      </c>
      <c r="S16" t="s">
        <v>172</v>
      </c>
    </row>
    <row r="17" spans="1:19" x14ac:dyDescent="0.3">
      <c r="A17" t="s">
        <v>209</v>
      </c>
      <c r="B17" t="s">
        <v>38</v>
      </c>
      <c r="C17" t="s">
        <v>241</v>
      </c>
      <c r="D17" t="s">
        <v>39</v>
      </c>
      <c r="E17" t="s">
        <v>111</v>
      </c>
      <c r="F17" t="s">
        <v>113</v>
      </c>
      <c r="G17" t="s">
        <v>247</v>
      </c>
      <c r="H17" t="s">
        <v>40</v>
      </c>
      <c r="I17">
        <v>6180</v>
      </c>
      <c r="J17">
        <v>9700</v>
      </c>
      <c r="K17">
        <v>13</v>
      </c>
      <c r="L17">
        <v>12</v>
      </c>
      <c r="M17">
        <v>45538</v>
      </c>
      <c r="N17">
        <v>45551</v>
      </c>
      <c r="O17">
        <v>45550</v>
      </c>
      <c r="P17" t="s">
        <v>127</v>
      </c>
      <c r="Q17" t="s">
        <v>202</v>
      </c>
      <c r="R17" t="s">
        <v>258</v>
      </c>
      <c r="S17" t="s">
        <v>101</v>
      </c>
    </row>
    <row r="18" spans="1:19" x14ac:dyDescent="0.3">
      <c r="A18" t="s">
        <v>209</v>
      </c>
      <c r="B18" t="s">
        <v>38</v>
      </c>
      <c r="C18" t="s">
        <v>241</v>
      </c>
      <c r="D18" t="s">
        <v>39</v>
      </c>
      <c r="E18" t="s">
        <v>111</v>
      </c>
      <c r="F18" t="s">
        <v>113</v>
      </c>
      <c r="G18" t="s">
        <v>247</v>
      </c>
      <c r="H18" t="s">
        <v>40</v>
      </c>
      <c r="I18">
        <v>6180</v>
      </c>
      <c r="J18">
        <v>9700</v>
      </c>
      <c r="K18">
        <v>13</v>
      </c>
      <c r="L18">
        <v>12</v>
      </c>
      <c r="M18">
        <v>45538</v>
      </c>
      <c r="N18">
        <v>45551</v>
      </c>
      <c r="O18">
        <v>45550</v>
      </c>
      <c r="P18" t="s">
        <v>127</v>
      </c>
      <c r="Q18" t="s">
        <v>202</v>
      </c>
      <c r="R18" t="s">
        <v>258</v>
      </c>
      <c r="S18" t="s">
        <v>101</v>
      </c>
    </row>
    <row r="19" spans="1:19" x14ac:dyDescent="0.3">
      <c r="A19" t="s">
        <v>205</v>
      </c>
      <c r="B19" t="s">
        <v>41</v>
      </c>
      <c r="C19" t="s">
        <v>241</v>
      </c>
      <c r="D19" t="s">
        <v>5</v>
      </c>
      <c r="E19" t="s">
        <v>111</v>
      </c>
      <c r="F19" t="s">
        <v>112</v>
      </c>
      <c r="G19" t="s">
        <v>247</v>
      </c>
      <c r="H19" t="s">
        <v>42</v>
      </c>
      <c r="I19">
        <v>11199</v>
      </c>
      <c r="J19">
        <v>11310</v>
      </c>
      <c r="K19">
        <v>14</v>
      </c>
      <c r="L19">
        <v>0</v>
      </c>
      <c r="M19">
        <v>45539</v>
      </c>
      <c r="N19">
        <v>45553</v>
      </c>
      <c r="P19" t="s">
        <v>162</v>
      </c>
      <c r="Q19" t="s">
        <v>202</v>
      </c>
      <c r="R19" t="s">
        <v>258</v>
      </c>
      <c r="S19" t="s">
        <v>101</v>
      </c>
    </row>
    <row r="20" spans="1:19" x14ac:dyDescent="0.3">
      <c r="A20" t="s">
        <v>205</v>
      </c>
      <c r="B20" t="s">
        <v>47</v>
      </c>
      <c r="C20" t="s">
        <v>241</v>
      </c>
      <c r="D20" t="s">
        <v>5</v>
      </c>
      <c r="E20" t="s">
        <v>103</v>
      </c>
      <c r="F20" t="s">
        <v>112</v>
      </c>
      <c r="G20" t="s">
        <v>12</v>
      </c>
      <c r="H20" t="s">
        <v>48</v>
      </c>
      <c r="I20">
        <v>7987</v>
      </c>
      <c r="J20" t="s">
        <v>12</v>
      </c>
      <c r="K20">
        <v>10</v>
      </c>
      <c r="L20">
        <v>15</v>
      </c>
      <c r="M20">
        <v>45541</v>
      </c>
      <c r="N20">
        <v>45551</v>
      </c>
      <c r="O20">
        <v>45556</v>
      </c>
      <c r="P20" t="s">
        <v>127</v>
      </c>
      <c r="Q20" t="s">
        <v>202</v>
      </c>
      <c r="R20" t="s">
        <v>259</v>
      </c>
      <c r="S20" t="s">
        <v>101</v>
      </c>
    </row>
    <row r="21" spans="1:19" x14ac:dyDescent="0.3">
      <c r="A21" t="s">
        <v>28</v>
      </c>
      <c r="B21" t="s">
        <v>27</v>
      </c>
      <c r="C21" t="s">
        <v>241</v>
      </c>
      <c r="D21" t="s">
        <v>267</v>
      </c>
      <c r="E21" t="s">
        <v>109</v>
      </c>
      <c r="F21" t="s">
        <v>113</v>
      </c>
      <c r="G21" t="s">
        <v>247</v>
      </c>
      <c r="H21" t="s">
        <v>45</v>
      </c>
      <c r="I21">
        <v>9300</v>
      </c>
      <c r="J21">
        <v>9300</v>
      </c>
      <c r="K21">
        <v>11</v>
      </c>
      <c r="L21">
        <v>13</v>
      </c>
      <c r="M21">
        <v>45539</v>
      </c>
      <c r="N21">
        <v>45550</v>
      </c>
      <c r="O21">
        <v>45552</v>
      </c>
      <c r="P21" t="s">
        <v>127</v>
      </c>
      <c r="Q21" t="s">
        <v>204</v>
      </c>
      <c r="R21" t="s">
        <v>259</v>
      </c>
      <c r="S21" t="s">
        <v>108</v>
      </c>
    </row>
    <row r="22" spans="1:19" x14ac:dyDescent="0.3">
      <c r="A22" t="s">
        <v>205</v>
      </c>
      <c r="B22" t="s">
        <v>47</v>
      </c>
      <c r="C22" t="s">
        <v>241</v>
      </c>
      <c r="D22" t="s">
        <v>5</v>
      </c>
      <c r="E22" t="s">
        <v>103</v>
      </c>
      <c r="F22" t="s">
        <v>112</v>
      </c>
      <c r="G22" t="s">
        <v>12</v>
      </c>
      <c r="H22" t="s">
        <v>48</v>
      </c>
      <c r="I22">
        <v>7987</v>
      </c>
      <c r="J22" t="s">
        <v>12</v>
      </c>
      <c r="K22">
        <v>10</v>
      </c>
      <c r="L22">
        <v>15</v>
      </c>
      <c r="M22">
        <v>45541</v>
      </c>
      <c r="N22">
        <v>45551</v>
      </c>
      <c r="O22">
        <v>45556</v>
      </c>
      <c r="P22" t="s">
        <v>127</v>
      </c>
      <c r="Q22" t="s">
        <v>202</v>
      </c>
      <c r="R22" t="s">
        <v>259</v>
      </c>
      <c r="S22" t="s">
        <v>101</v>
      </c>
    </row>
    <row r="23" spans="1:19" x14ac:dyDescent="0.3">
      <c r="A23" t="s">
        <v>205</v>
      </c>
      <c r="B23" t="s">
        <v>47</v>
      </c>
      <c r="C23" t="s">
        <v>241</v>
      </c>
      <c r="D23" t="s">
        <v>5</v>
      </c>
      <c r="E23" t="s">
        <v>103</v>
      </c>
      <c r="F23" t="s">
        <v>112</v>
      </c>
      <c r="G23" t="s">
        <v>12</v>
      </c>
      <c r="H23" t="s">
        <v>48</v>
      </c>
      <c r="I23">
        <v>7987</v>
      </c>
      <c r="J23" t="s">
        <v>12</v>
      </c>
      <c r="K23">
        <v>10</v>
      </c>
      <c r="L23">
        <v>15</v>
      </c>
      <c r="M23">
        <v>45541</v>
      </c>
      <c r="N23">
        <v>45551</v>
      </c>
      <c r="O23">
        <v>45556</v>
      </c>
      <c r="P23" t="s">
        <v>127</v>
      </c>
      <c r="Q23" t="s">
        <v>202</v>
      </c>
      <c r="R23" t="s">
        <v>259</v>
      </c>
      <c r="S23" t="s">
        <v>101</v>
      </c>
    </row>
    <row r="24" spans="1:19" x14ac:dyDescent="0.3">
      <c r="A24" t="s">
        <v>205</v>
      </c>
      <c r="B24" t="s">
        <v>47</v>
      </c>
      <c r="C24" t="s">
        <v>241</v>
      </c>
      <c r="D24" t="s">
        <v>5</v>
      </c>
      <c r="E24" t="s">
        <v>103</v>
      </c>
      <c r="F24" t="s">
        <v>112</v>
      </c>
      <c r="G24" t="s">
        <v>12</v>
      </c>
      <c r="H24" t="s">
        <v>48</v>
      </c>
      <c r="I24">
        <v>7987</v>
      </c>
      <c r="J24" t="s">
        <v>12</v>
      </c>
      <c r="K24">
        <v>10</v>
      </c>
      <c r="L24">
        <v>15</v>
      </c>
      <c r="M24">
        <v>45541</v>
      </c>
      <c r="N24">
        <v>45551</v>
      </c>
      <c r="O24">
        <v>45556</v>
      </c>
      <c r="P24" t="s">
        <v>127</v>
      </c>
      <c r="Q24" t="s">
        <v>202</v>
      </c>
      <c r="R24" t="s">
        <v>259</v>
      </c>
      <c r="S24" t="s">
        <v>101</v>
      </c>
    </row>
    <row r="25" spans="1:19" x14ac:dyDescent="0.3">
      <c r="A25" t="s">
        <v>74</v>
      </c>
      <c r="B25" t="s">
        <v>75</v>
      </c>
      <c r="C25" t="s">
        <v>241</v>
      </c>
      <c r="D25" t="s">
        <v>5</v>
      </c>
      <c r="E25" t="s">
        <v>122</v>
      </c>
      <c r="F25" t="s">
        <v>113</v>
      </c>
      <c r="G25" t="s">
        <v>12</v>
      </c>
      <c r="H25" t="s">
        <v>44</v>
      </c>
      <c r="I25">
        <v>8849</v>
      </c>
      <c r="J25" t="s">
        <v>12</v>
      </c>
      <c r="K25">
        <v>43</v>
      </c>
      <c r="L25">
        <v>0</v>
      </c>
      <c r="M25">
        <v>45538</v>
      </c>
      <c r="N25">
        <v>45581</v>
      </c>
      <c r="P25" t="s">
        <v>162</v>
      </c>
      <c r="Q25" t="s">
        <v>202</v>
      </c>
      <c r="R25" t="s">
        <v>258</v>
      </c>
      <c r="S25" t="s">
        <v>172</v>
      </c>
    </row>
    <row r="26" spans="1:19" x14ac:dyDescent="0.3">
      <c r="A26" t="s">
        <v>49</v>
      </c>
      <c r="B26" t="s">
        <v>25</v>
      </c>
      <c r="C26" t="s">
        <v>237</v>
      </c>
      <c r="D26" t="s">
        <v>5</v>
      </c>
      <c r="E26" t="s">
        <v>103</v>
      </c>
      <c r="F26" t="s">
        <v>112</v>
      </c>
      <c r="G26" t="s">
        <v>12</v>
      </c>
      <c r="H26" t="s">
        <v>50</v>
      </c>
      <c r="I26">
        <v>10987</v>
      </c>
      <c r="J26" t="s">
        <v>12</v>
      </c>
      <c r="K26">
        <v>8</v>
      </c>
      <c r="L26">
        <v>12</v>
      </c>
      <c r="M26">
        <v>45544</v>
      </c>
      <c r="N26">
        <v>45552</v>
      </c>
      <c r="O26">
        <v>45556</v>
      </c>
      <c r="P26" t="s">
        <v>127</v>
      </c>
      <c r="Q26" t="s">
        <v>202</v>
      </c>
      <c r="R26" t="s">
        <v>259</v>
      </c>
      <c r="S26" t="s">
        <v>101</v>
      </c>
    </row>
    <row r="27" spans="1:19" x14ac:dyDescent="0.3">
      <c r="A27" t="s">
        <v>36</v>
      </c>
      <c r="B27" t="s">
        <v>273</v>
      </c>
      <c r="C27" t="s">
        <v>266</v>
      </c>
      <c r="D27" t="s">
        <v>36</v>
      </c>
      <c r="E27" t="s">
        <v>111</v>
      </c>
      <c r="F27" t="s">
        <v>112</v>
      </c>
      <c r="G27" t="s">
        <v>247</v>
      </c>
      <c r="H27" t="s">
        <v>35</v>
      </c>
      <c r="I27">
        <v>9208</v>
      </c>
      <c r="J27">
        <v>5781.75</v>
      </c>
      <c r="K27">
        <v>18</v>
      </c>
      <c r="L27">
        <v>20</v>
      </c>
      <c r="M27">
        <v>45536</v>
      </c>
      <c r="N27">
        <v>45554</v>
      </c>
      <c r="O27">
        <v>45556</v>
      </c>
      <c r="P27" t="s">
        <v>127</v>
      </c>
      <c r="Q27" t="s">
        <v>204</v>
      </c>
      <c r="R27" t="s">
        <v>259</v>
      </c>
      <c r="S27" t="s">
        <v>101</v>
      </c>
    </row>
    <row r="28" spans="1:19" x14ac:dyDescent="0.3">
      <c r="A28" t="s">
        <v>36</v>
      </c>
      <c r="B28" t="s">
        <v>273</v>
      </c>
      <c r="C28" t="s">
        <v>266</v>
      </c>
      <c r="D28" t="s">
        <v>36</v>
      </c>
      <c r="E28" t="s">
        <v>111</v>
      </c>
      <c r="F28" t="s">
        <v>113</v>
      </c>
      <c r="G28" t="s">
        <v>247</v>
      </c>
      <c r="H28" t="s">
        <v>37</v>
      </c>
      <c r="I28">
        <v>9208</v>
      </c>
      <c r="J28">
        <v>1278.53</v>
      </c>
      <c r="K28">
        <v>18</v>
      </c>
      <c r="L28">
        <v>20</v>
      </c>
      <c r="M28">
        <v>45536</v>
      </c>
      <c r="N28">
        <v>45554</v>
      </c>
      <c r="O28">
        <v>45556</v>
      </c>
      <c r="P28" t="s">
        <v>127</v>
      </c>
      <c r="Q28" t="s">
        <v>204</v>
      </c>
      <c r="R28" t="s">
        <v>259</v>
      </c>
      <c r="S28" t="s">
        <v>101</v>
      </c>
    </row>
    <row r="29" spans="1:19" x14ac:dyDescent="0.3">
      <c r="A29" t="s">
        <v>57</v>
      </c>
      <c r="B29" t="s">
        <v>58</v>
      </c>
      <c r="C29" t="s">
        <v>242</v>
      </c>
      <c r="D29" t="s">
        <v>39</v>
      </c>
      <c r="E29" t="s">
        <v>103</v>
      </c>
      <c r="F29" t="s">
        <v>112</v>
      </c>
      <c r="G29" t="s">
        <v>59</v>
      </c>
      <c r="H29" t="s">
        <v>61</v>
      </c>
      <c r="I29">
        <v>4020</v>
      </c>
      <c r="J29" t="s">
        <v>59</v>
      </c>
      <c r="K29">
        <v>9</v>
      </c>
      <c r="L29">
        <v>10</v>
      </c>
      <c r="M29">
        <v>45547</v>
      </c>
      <c r="N29">
        <v>45556</v>
      </c>
      <c r="O29">
        <v>45557</v>
      </c>
      <c r="P29" t="s">
        <v>127</v>
      </c>
      <c r="Q29" t="s">
        <v>204</v>
      </c>
      <c r="R29" t="s">
        <v>259</v>
      </c>
      <c r="S29" t="s">
        <v>101</v>
      </c>
    </row>
    <row r="30" spans="1:19" x14ac:dyDescent="0.3">
      <c r="A30" t="s">
        <v>57</v>
      </c>
      <c r="B30" t="s">
        <v>58</v>
      </c>
      <c r="C30" t="s">
        <v>242</v>
      </c>
      <c r="D30" t="s">
        <v>39</v>
      </c>
      <c r="E30" t="s">
        <v>103</v>
      </c>
      <c r="F30" t="s">
        <v>112</v>
      </c>
      <c r="G30" t="s">
        <v>59</v>
      </c>
      <c r="H30" t="s">
        <v>61</v>
      </c>
      <c r="I30">
        <v>4020</v>
      </c>
      <c r="J30" t="s">
        <v>59</v>
      </c>
      <c r="K30">
        <v>9</v>
      </c>
      <c r="L30">
        <v>10</v>
      </c>
      <c r="M30">
        <v>45547</v>
      </c>
      <c r="N30">
        <v>45556</v>
      </c>
      <c r="O30">
        <v>45557</v>
      </c>
      <c r="P30" t="s">
        <v>127</v>
      </c>
      <c r="Q30" t="s">
        <v>204</v>
      </c>
      <c r="R30" t="s">
        <v>259</v>
      </c>
      <c r="S30" t="s">
        <v>101</v>
      </c>
    </row>
    <row r="31" spans="1:19" x14ac:dyDescent="0.3">
      <c r="A31" t="s">
        <v>57</v>
      </c>
      <c r="B31" t="s">
        <v>58</v>
      </c>
      <c r="C31" t="s">
        <v>242</v>
      </c>
      <c r="D31" t="s">
        <v>39</v>
      </c>
      <c r="E31" t="s">
        <v>103</v>
      </c>
      <c r="F31" t="s">
        <v>113</v>
      </c>
      <c r="G31" t="s">
        <v>79</v>
      </c>
      <c r="H31" t="s">
        <v>60</v>
      </c>
      <c r="I31">
        <v>4020</v>
      </c>
      <c r="J31" t="s">
        <v>79</v>
      </c>
      <c r="K31">
        <v>9</v>
      </c>
      <c r="L31">
        <v>10</v>
      </c>
      <c r="M31">
        <v>45547</v>
      </c>
      <c r="N31">
        <v>45556</v>
      </c>
      <c r="O31">
        <v>45557</v>
      </c>
      <c r="P31" t="s">
        <v>127</v>
      </c>
      <c r="Q31" t="s">
        <v>204</v>
      </c>
      <c r="R31" t="s">
        <v>259</v>
      </c>
      <c r="S31" t="s">
        <v>101</v>
      </c>
    </row>
    <row r="32" spans="1:19" x14ac:dyDescent="0.3">
      <c r="A32" t="s">
        <v>57</v>
      </c>
      <c r="B32" t="s">
        <v>58</v>
      </c>
      <c r="C32" t="s">
        <v>242</v>
      </c>
      <c r="D32" t="s">
        <v>39</v>
      </c>
      <c r="E32" t="s">
        <v>103</v>
      </c>
      <c r="F32" t="s">
        <v>113</v>
      </c>
      <c r="G32" t="s">
        <v>79</v>
      </c>
      <c r="H32" t="s">
        <v>60</v>
      </c>
      <c r="I32">
        <v>4020</v>
      </c>
      <c r="J32" t="s">
        <v>79</v>
      </c>
      <c r="K32">
        <v>9</v>
      </c>
      <c r="L32">
        <v>10</v>
      </c>
      <c r="M32">
        <v>45547</v>
      </c>
      <c r="N32">
        <v>45556</v>
      </c>
      <c r="O32">
        <v>45557</v>
      </c>
      <c r="P32" t="s">
        <v>127</v>
      </c>
      <c r="Q32" t="s">
        <v>204</v>
      </c>
      <c r="R32" t="s">
        <v>259</v>
      </c>
      <c r="S32" t="s">
        <v>101</v>
      </c>
    </row>
    <row r="33" spans="1:19" x14ac:dyDescent="0.3">
      <c r="A33" t="s">
        <v>95</v>
      </c>
      <c r="B33" t="s">
        <v>96</v>
      </c>
      <c r="C33" t="s">
        <v>137</v>
      </c>
      <c r="D33" t="s">
        <v>5</v>
      </c>
      <c r="E33" t="s">
        <v>102</v>
      </c>
      <c r="F33" t="s">
        <v>113</v>
      </c>
      <c r="G33" t="s">
        <v>79</v>
      </c>
      <c r="H33" t="s">
        <v>97</v>
      </c>
      <c r="I33">
        <v>9399</v>
      </c>
      <c r="J33" t="s">
        <v>79</v>
      </c>
      <c r="K33">
        <v>8</v>
      </c>
      <c r="L33">
        <v>0</v>
      </c>
      <c r="M33">
        <v>45549</v>
      </c>
      <c r="N33">
        <v>45557</v>
      </c>
      <c r="P33" t="s">
        <v>162</v>
      </c>
      <c r="Q33" t="s">
        <v>202</v>
      </c>
      <c r="R33" t="s">
        <v>258</v>
      </c>
      <c r="S33" t="s">
        <v>101</v>
      </c>
    </row>
    <row r="34" spans="1:19" x14ac:dyDescent="0.3">
      <c r="A34" t="s">
        <v>98</v>
      </c>
      <c r="B34" t="s">
        <v>99</v>
      </c>
      <c r="C34" t="s">
        <v>238</v>
      </c>
      <c r="D34" t="s">
        <v>5</v>
      </c>
      <c r="E34" t="s">
        <v>124</v>
      </c>
      <c r="F34" t="s">
        <v>113</v>
      </c>
      <c r="G34" t="s">
        <v>79</v>
      </c>
      <c r="H34" t="s">
        <v>100</v>
      </c>
      <c r="I34">
        <v>8349</v>
      </c>
      <c r="J34" t="s">
        <v>79</v>
      </c>
      <c r="K34">
        <v>8</v>
      </c>
      <c r="L34">
        <v>10</v>
      </c>
      <c r="M34">
        <v>45549</v>
      </c>
      <c r="N34">
        <v>45557</v>
      </c>
      <c r="O34">
        <v>45559</v>
      </c>
      <c r="P34" t="s">
        <v>127</v>
      </c>
      <c r="Q34" t="s">
        <v>202</v>
      </c>
      <c r="R34" t="s">
        <v>259</v>
      </c>
      <c r="S34" t="s">
        <v>172</v>
      </c>
    </row>
    <row r="35" spans="1:19" x14ac:dyDescent="0.3">
      <c r="A35" t="s">
        <v>210</v>
      </c>
      <c r="B35" t="s">
        <v>25</v>
      </c>
      <c r="C35" t="s">
        <v>237</v>
      </c>
      <c r="D35" t="s">
        <v>5</v>
      </c>
      <c r="E35" t="s">
        <v>102</v>
      </c>
      <c r="F35" t="s">
        <v>113</v>
      </c>
      <c r="G35" t="s">
        <v>12</v>
      </c>
      <c r="H35" t="s">
        <v>73</v>
      </c>
      <c r="I35">
        <v>9399</v>
      </c>
      <c r="J35" t="s">
        <v>12</v>
      </c>
      <c r="K35">
        <v>11</v>
      </c>
      <c r="L35">
        <v>17</v>
      </c>
      <c r="M35">
        <v>45548</v>
      </c>
      <c r="N35">
        <v>45559</v>
      </c>
      <c r="O35">
        <v>45565</v>
      </c>
      <c r="P35" t="s">
        <v>127</v>
      </c>
      <c r="Q35" t="s">
        <v>202</v>
      </c>
      <c r="R35" t="s">
        <v>259</v>
      </c>
      <c r="S35" t="s">
        <v>101</v>
      </c>
    </row>
    <row r="36" spans="1:19" x14ac:dyDescent="0.3">
      <c r="A36" t="s">
        <v>211</v>
      </c>
      <c r="B36" t="s">
        <v>51</v>
      </c>
      <c r="C36" t="s">
        <v>241</v>
      </c>
      <c r="D36" t="s">
        <v>5</v>
      </c>
      <c r="E36" t="s">
        <v>122</v>
      </c>
      <c r="F36" t="s">
        <v>113</v>
      </c>
      <c r="G36" t="s">
        <v>247</v>
      </c>
      <c r="H36" t="s">
        <v>44</v>
      </c>
      <c r="I36">
        <v>7849</v>
      </c>
      <c r="J36">
        <v>7928</v>
      </c>
      <c r="K36">
        <v>14</v>
      </c>
      <c r="L36">
        <v>0</v>
      </c>
      <c r="M36">
        <v>45547</v>
      </c>
      <c r="N36">
        <v>45561</v>
      </c>
      <c r="P36" t="s">
        <v>127</v>
      </c>
      <c r="Q36" t="s">
        <v>202</v>
      </c>
      <c r="R36" t="s">
        <v>258</v>
      </c>
      <c r="S36" t="s">
        <v>172</v>
      </c>
    </row>
    <row r="37" spans="1:19" x14ac:dyDescent="0.3">
      <c r="A37" t="s">
        <v>55</v>
      </c>
      <c r="B37" t="s">
        <v>56</v>
      </c>
      <c r="C37" t="s">
        <v>237</v>
      </c>
      <c r="D37" t="s">
        <v>167</v>
      </c>
      <c r="E37" t="s">
        <v>115</v>
      </c>
      <c r="F37" t="s">
        <v>113</v>
      </c>
      <c r="G37" t="s">
        <v>247</v>
      </c>
      <c r="H37" t="s">
        <v>195</v>
      </c>
      <c r="I37">
        <v>9450</v>
      </c>
      <c r="J37">
        <v>9450</v>
      </c>
      <c r="K37">
        <v>14</v>
      </c>
      <c r="L37">
        <v>0</v>
      </c>
      <c r="M37">
        <v>45547</v>
      </c>
      <c r="N37">
        <v>45561</v>
      </c>
      <c r="P37" t="s">
        <v>162</v>
      </c>
      <c r="Q37" t="s">
        <v>202</v>
      </c>
      <c r="R37" t="s">
        <v>258</v>
      </c>
      <c r="S37" t="s">
        <v>101</v>
      </c>
    </row>
    <row r="38" spans="1:19" x14ac:dyDescent="0.3">
      <c r="A38" t="s">
        <v>212</v>
      </c>
      <c r="B38" t="s">
        <v>47</v>
      </c>
      <c r="C38" t="s">
        <v>241</v>
      </c>
      <c r="D38" t="s">
        <v>5</v>
      </c>
      <c r="E38" t="s">
        <v>103</v>
      </c>
      <c r="F38" t="s">
        <v>113</v>
      </c>
      <c r="G38" t="s">
        <v>12</v>
      </c>
      <c r="H38" t="s">
        <v>67</v>
      </c>
      <c r="I38">
        <v>7460</v>
      </c>
      <c r="J38" t="s">
        <v>12</v>
      </c>
      <c r="K38">
        <v>13</v>
      </c>
      <c r="L38">
        <v>20</v>
      </c>
      <c r="M38">
        <v>45548</v>
      </c>
      <c r="N38">
        <v>45561</v>
      </c>
      <c r="O38">
        <v>45568</v>
      </c>
      <c r="P38" t="s">
        <v>127</v>
      </c>
      <c r="Q38" t="s">
        <v>202</v>
      </c>
      <c r="R38" t="s">
        <v>259</v>
      </c>
      <c r="S38" t="s">
        <v>101</v>
      </c>
    </row>
    <row r="39" spans="1:19" x14ac:dyDescent="0.3">
      <c r="A39" t="s">
        <v>69</v>
      </c>
      <c r="B39" t="s">
        <v>47</v>
      </c>
      <c r="C39" t="s">
        <v>241</v>
      </c>
      <c r="D39" t="s">
        <v>5</v>
      </c>
      <c r="E39" t="s">
        <v>103</v>
      </c>
      <c r="F39" t="s">
        <v>118</v>
      </c>
      <c r="G39" t="s">
        <v>12</v>
      </c>
      <c r="H39" t="s">
        <v>70</v>
      </c>
      <c r="I39">
        <v>9528</v>
      </c>
      <c r="J39" t="s">
        <v>12</v>
      </c>
      <c r="K39">
        <v>13</v>
      </c>
      <c r="L39">
        <v>20</v>
      </c>
      <c r="M39">
        <v>45548</v>
      </c>
      <c r="N39">
        <v>45561</v>
      </c>
      <c r="O39">
        <v>45568</v>
      </c>
      <c r="P39" t="s">
        <v>127</v>
      </c>
      <c r="Q39" t="s">
        <v>202</v>
      </c>
      <c r="R39" t="s">
        <v>259</v>
      </c>
      <c r="S39" t="s">
        <v>101</v>
      </c>
    </row>
    <row r="40" spans="1:19" x14ac:dyDescent="0.3">
      <c r="A40" t="s">
        <v>213</v>
      </c>
      <c r="B40" t="s">
        <v>25</v>
      </c>
      <c r="C40" t="s">
        <v>237</v>
      </c>
      <c r="D40" t="s">
        <v>5</v>
      </c>
      <c r="E40" t="s">
        <v>111</v>
      </c>
      <c r="F40" t="s">
        <v>116</v>
      </c>
      <c r="G40" t="s">
        <v>12</v>
      </c>
      <c r="H40" t="s">
        <v>94</v>
      </c>
      <c r="I40">
        <v>12999</v>
      </c>
      <c r="J40" t="s">
        <v>12</v>
      </c>
      <c r="K40">
        <v>13</v>
      </c>
      <c r="L40">
        <v>18</v>
      </c>
      <c r="M40">
        <v>45549</v>
      </c>
      <c r="N40">
        <v>45562</v>
      </c>
      <c r="O40">
        <v>45567</v>
      </c>
      <c r="P40" t="s">
        <v>127</v>
      </c>
      <c r="Q40" t="s">
        <v>202</v>
      </c>
      <c r="R40" t="s">
        <v>259</v>
      </c>
      <c r="S40" t="s">
        <v>101</v>
      </c>
    </row>
    <row r="41" spans="1:19" x14ac:dyDescent="0.3">
      <c r="A41" t="s">
        <v>214</v>
      </c>
      <c r="B41" t="s">
        <v>52</v>
      </c>
      <c r="C41" t="s">
        <v>241</v>
      </c>
      <c r="D41" t="s">
        <v>5</v>
      </c>
      <c r="E41" t="s">
        <v>111</v>
      </c>
      <c r="F41" t="s">
        <v>113</v>
      </c>
      <c r="G41" t="s">
        <v>12</v>
      </c>
      <c r="H41" t="s">
        <v>54</v>
      </c>
      <c r="I41">
        <v>5999</v>
      </c>
      <c r="J41" t="s">
        <v>12</v>
      </c>
      <c r="K41">
        <v>17</v>
      </c>
      <c r="L41">
        <v>0</v>
      </c>
      <c r="M41">
        <v>45547</v>
      </c>
      <c r="N41">
        <v>45564</v>
      </c>
      <c r="P41" t="s">
        <v>162</v>
      </c>
      <c r="Q41" t="s">
        <v>202</v>
      </c>
      <c r="R41" t="s">
        <v>258</v>
      </c>
      <c r="S41" t="s">
        <v>101</v>
      </c>
    </row>
    <row r="42" spans="1:19" x14ac:dyDescent="0.3">
      <c r="A42" t="s">
        <v>215</v>
      </c>
      <c r="B42" t="s">
        <v>53</v>
      </c>
      <c r="C42" t="s">
        <v>237</v>
      </c>
      <c r="D42" t="s">
        <v>5</v>
      </c>
      <c r="E42" t="s">
        <v>111</v>
      </c>
      <c r="F42" t="s">
        <v>113</v>
      </c>
      <c r="G42" t="s">
        <v>247</v>
      </c>
      <c r="H42" t="s">
        <v>196</v>
      </c>
      <c r="I42">
        <v>11949</v>
      </c>
      <c r="J42">
        <v>10749</v>
      </c>
      <c r="K42">
        <v>17</v>
      </c>
      <c r="L42">
        <v>20</v>
      </c>
      <c r="M42">
        <v>45547</v>
      </c>
      <c r="N42">
        <v>45564</v>
      </c>
      <c r="O42">
        <v>45567</v>
      </c>
      <c r="P42" t="s">
        <v>127</v>
      </c>
      <c r="Q42" t="s">
        <v>202</v>
      </c>
      <c r="R42" t="s">
        <v>259</v>
      </c>
      <c r="S42" t="s">
        <v>101</v>
      </c>
    </row>
    <row r="43" spans="1:19" x14ac:dyDescent="0.3">
      <c r="A43" t="s">
        <v>215</v>
      </c>
      <c r="B43" t="s">
        <v>53</v>
      </c>
      <c r="C43" t="s">
        <v>237</v>
      </c>
      <c r="D43" t="s">
        <v>5</v>
      </c>
      <c r="E43" t="s">
        <v>111</v>
      </c>
      <c r="F43" t="s">
        <v>113</v>
      </c>
      <c r="G43" t="s">
        <v>247</v>
      </c>
      <c r="H43" t="s">
        <v>196</v>
      </c>
      <c r="I43">
        <v>11949</v>
      </c>
      <c r="J43">
        <v>10749</v>
      </c>
      <c r="K43">
        <v>17</v>
      </c>
      <c r="L43">
        <v>20</v>
      </c>
      <c r="M43">
        <v>45547</v>
      </c>
      <c r="N43">
        <v>45564</v>
      </c>
      <c r="O43">
        <v>45567</v>
      </c>
      <c r="P43" t="s">
        <v>127</v>
      </c>
      <c r="Q43" t="s">
        <v>202</v>
      </c>
      <c r="R43" t="s">
        <v>259</v>
      </c>
      <c r="S43" t="s">
        <v>101</v>
      </c>
    </row>
    <row r="44" spans="1:19" x14ac:dyDescent="0.3">
      <c r="A44" t="s">
        <v>205</v>
      </c>
      <c r="B44" t="s">
        <v>62</v>
      </c>
      <c r="C44" t="s">
        <v>241</v>
      </c>
      <c r="D44" t="s">
        <v>5</v>
      </c>
      <c r="E44" t="s">
        <v>115</v>
      </c>
      <c r="F44" t="s">
        <v>112</v>
      </c>
      <c r="G44" t="s">
        <v>12</v>
      </c>
      <c r="H44" t="s">
        <v>64</v>
      </c>
      <c r="I44">
        <v>16599</v>
      </c>
      <c r="J44" t="s">
        <v>12</v>
      </c>
      <c r="K44">
        <v>17</v>
      </c>
      <c r="L44">
        <v>20</v>
      </c>
      <c r="M44">
        <v>45548</v>
      </c>
      <c r="N44">
        <v>45565</v>
      </c>
      <c r="O44">
        <v>45568</v>
      </c>
      <c r="P44" t="s">
        <v>127</v>
      </c>
      <c r="Q44" t="s">
        <v>202</v>
      </c>
      <c r="R44" t="s">
        <v>259</v>
      </c>
      <c r="S44" t="s">
        <v>101</v>
      </c>
    </row>
    <row r="45" spans="1:19" x14ac:dyDescent="0.3">
      <c r="A45" t="s">
        <v>216</v>
      </c>
      <c r="B45" t="s">
        <v>20</v>
      </c>
      <c r="C45" t="s">
        <v>240</v>
      </c>
      <c r="D45" t="s">
        <v>5</v>
      </c>
      <c r="E45" t="s">
        <v>111</v>
      </c>
      <c r="F45" t="s">
        <v>112</v>
      </c>
      <c r="G45" t="s">
        <v>12</v>
      </c>
      <c r="H45" t="s">
        <v>63</v>
      </c>
      <c r="I45">
        <v>10999</v>
      </c>
      <c r="J45" t="s">
        <v>12</v>
      </c>
      <c r="K45">
        <v>17</v>
      </c>
      <c r="L45">
        <v>33</v>
      </c>
      <c r="M45">
        <v>45548</v>
      </c>
      <c r="N45">
        <v>45565</v>
      </c>
      <c r="O45">
        <v>45581</v>
      </c>
      <c r="P45" t="s">
        <v>127</v>
      </c>
      <c r="Q45" t="s">
        <v>202</v>
      </c>
      <c r="R45" t="s">
        <v>259</v>
      </c>
      <c r="S45" t="s">
        <v>101</v>
      </c>
    </row>
    <row r="46" spans="1:19" x14ac:dyDescent="0.3">
      <c r="A46" t="s">
        <v>217</v>
      </c>
      <c r="B46" t="s">
        <v>65</v>
      </c>
      <c r="C46" t="s">
        <v>137</v>
      </c>
      <c r="D46" t="s">
        <v>5</v>
      </c>
      <c r="E46" t="s">
        <v>111</v>
      </c>
      <c r="F46" t="s">
        <v>114</v>
      </c>
      <c r="G46" t="s">
        <v>12</v>
      </c>
      <c r="H46" t="s">
        <v>66</v>
      </c>
      <c r="I46">
        <v>13099</v>
      </c>
      <c r="J46" t="s">
        <v>12</v>
      </c>
      <c r="K46">
        <v>17</v>
      </c>
      <c r="L46">
        <v>20</v>
      </c>
      <c r="M46">
        <v>45548</v>
      </c>
      <c r="N46">
        <v>45565</v>
      </c>
      <c r="O46">
        <v>45568</v>
      </c>
      <c r="P46" t="s">
        <v>127</v>
      </c>
      <c r="Q46" t="s">
        <v>202</v>
      </c>
      <c r="R46" t="s">
        <v>259</v>
      </c>
      <c r="S46" t="s">
        <v>101</v>
      </c>
    </row>
    <row r="47" spans="1:19" x14ac:dyDescent="0.3">
      <c r="A47" t="s">
        <v>218</v>
      </c>
      <c r="B47" t="s">
        <v>25</v>
      </c>
      <c r="C47" t="s">
        <v>237</v>
      </c>
      <c r="D47" t="s">
        <v>5</v>
      </c>
      <c r="E47" t="s">
        <v>111</v>
      </c>
      <c r="F47" t="s">
        <v>117</v>
      </c>
      <c r="G47" t="s">
        <v>12</v>
      </c>
      <c r="H47" t="s">
        <v>68</v>
      </c>
      <c r="I47">
        <v>13849</v>
      </c>
      <c r="J47" t="s">
        <v>12</v>
      </c>
      <c r="K47">
        <v>17</v>
      </c>
      <c r="L47">
        <v>37</v>
      </c>
      <c r="M47">
        <v>45548</v>
      </c>
      <c r="N47">
        <v>45565</v>
      </c>
      <c r="O47">
        <v>45585</v>
      </c>
      <c r="P47" t="s">
        <v>127</v>
      </c>
      <c r="Q47" t="s">
        <v>202</v>
      </c>
      <c r="R47" t="s">
        <v>259</v>
      </c>
      <c r="S47" t="s">
        <v>101</v>
      </c>
    </row>
    <row r="48" spans="1:19" x14ac:dyDescent="0.3">
      <c r="A48" t="s">
        <v>219</v>
      </c>
      <c r="B48" t="s">
        <v>71</v>
      </c>
      <c r="C48" t="s">
        <v>241</v>
      </c>
      <c r="D48" t="s">
        <v>5</v>
      </c>
      <c r="E48" t="s">
        <v>110</v>
      </c>
      <c r="F48" t="s">
        <v>113</v>
      </c>
      <c r="G48" t="s">
        <v>12</v>
      </c>
      <c r="H48" t="s">
        <v>72</v>
      </c>
      <c r="I48">
        <v>21999</v>
      </c>
      <c r="J48" t="s">
        <v>12</v>
      </c>
      <c r="K48">
        <v>17</v>
      </c>
      <c r="L48">
        <v>0</v>
      </c>
      <c r="M48">
        <v>45548</v>
      </c>
      <c r="N48">
        <v>45565</v>
      </c>
      <c r="P48" t="s">
        <v>127</v>
      </c>
      <c r="Q48" t="s">
        <v>202</v>
      </c>
      <c r="R48" t="s">
        <v>258</v>
      </c>
      <c r="S48" t="s">
        <v>107</v>
      </c>
    </row>
    <row r="49" spans="1:19" x14ac:dyDescent="0.3">
      <c r="A49" t="s">
        <v>220</v>
      </c>
      <c r="B49" t="s">
        <v>25</v>
      </c>
      <c r="C49" t="s">
        <v>237</v>
      </c>
      <c r="D49" t="s">
        <v>5</v>
      </c>
      <c r="E49" t="s">
        <v>111</v>
      </c>
      <c r="F49" t="s">
        <v>112</v>
      </c>
      <c r="G49" t="s">
        <v>12</v>
      </c>
      <c r="H49" t="s">
        <v>63</v>
      </c>
      <c r="I49">
        <v>10999</v>
      </c>
      <c r="J49" t="s">
        <v>12</v>
      </c>
      <c r="K49">
        <v>17</v>
      </c>
      <c r="L49">
        <v>32</v>
      </c>
      <c r="M49">
        <v>45548</v>
      </c>
      <c r="N49">
        <v>45565</v>
      </c>
      <c r="O49">
        <v>45580</v>
      </c>
      <c r="P49" t="s">
        <v>127</v>
      </c>
      <c r="Q49" t="s">
        <v>202</v>
      </c>
      <c r="R49" t="s">
        <v>259</v>
      </c>
      <c r="S49" t="s">
        <v>101</v>
      </c>
    </row>
    <row r="50" spans="1:19" x14ac:dyDescent="0.3">
      <c r="A50" t="s">
        <v>221</v>
      </c>
      <c r="B50" t="s">
        <v>75</v>
      </c>
      <c r="C50" t="s">
        <v>241</v>
      </c>
      <c r="D50" t="s">
        <v>5</v>
      </c>
      <c r="E50" t="s">
        <v>115</v>
      </c>
      <c r="F50" t="s">
        <v>113</v>
      </c>
      <c r="G50" t="s">
        <v>12</v>
      </c>
      <c r="H50" t="s">
        <v>76</v>
      </c>
      <c r="I50">
        <v>17249</v>
      </c>
      <c r="J50" t="s">
        <v>12</v>
      </c>
      <c r="K50">
        <v>17</v>
      </c>
      <c r="L50">
        <v>21</v>
      </c>
      <c r="M50">
        <v>45548</v>
      </c>
      <c r="N50">
        <v>45565</v>
      </c>
      <c r="O50">
        <v>45569</v>
      </c>
      <c r="P50" t="s">
        <v>127</v>
      </c>
      <c r="Q50" t="s">
        <v>202</v>
      </c>
      <c r="R50" t="s">
        <v>259</v>
      </c>
      <c r="S50" t="s">
        <v>101</v>
      </c>
    </row>
    <row r="51" spans="1:19" x14ac:dyDescent="0.3">
      <c r="A51" t="s">
        <v>222</v>
      </c>
      <c r="B51" t="s">
        <v>93</v>
      </c>
      <c r="C51" t="s">
        <v>237</v>
      </c>
      <c r="D51" t="s">
        <v>5</v>
      </c>
      <c r="E51" t="s">
        <v>122</v>
      </c>
      <c r="F51" t="s">
        <v>113</v>
      </c>
      <c r="G51" t="s">
        <v>12</v>
      </c>
      <c r="H51" t="s">
        <v>193</v>
      </c>
      <c r="I51">
        <v>8349</v>
      </c>
      <c r="J51" t="s">
        <v>12</v>
      </c>
      <c r="K51">
        <v>32</v>
      </c>
      <c r="L51">
        <v>37</v>
      </c>
      <c r="M51">
        <v>45549</v>
      </c>
      <c r="N51">
        <v>45581</v>
      </c>
      <c r="O51">
        <v>45586</v>
      </c>
      <c r="P51" t="s">
        <v>127</v>
      </c>
      <c r="Q51" t="s">
        <v>202</v>
      </c>
      <c r="R51" t="s">
        <v>259</v>
      </c>
      <c r="S51" t="s">
        <v>172</v>
      </c>
    </row>
    <row r="52" spans="1:19" x14ac:dyDescent="0.3">
      <c r="A52" t="s">
        <v>223</v>
      </c>
      <c r="B52" t="s">
        <v>43</v>
      </c>
      <c r="C52" t="s">
        <v>241</v>
      </c>
      <c r="D52" t="s">
        <v>5</v>
      </c>
      <c r="E52" t="s">
        <v>123</v>
      </c>
      <c r="F52" t="s">
        <v>114</v>
      </c>
      <c r="G52" t="s">
        <v>12</v>
      </c>
      <c r="H52" t="s">
        <v>21</v>
      </c>
      <c r="I52">
        <v>7849</v>
      </c>
      <c r="J52" t="s">
        <v>12</v>
      </c>
      <c r="K52">
        <v>45</v>
      </c>
      <c r="L52">
        <v>46</v>
      </c>
      <c r="M52">
        <v>45549</v>
      </c>
      <c r="N52">
        <v>45594</v>
      </c>
      <c r="O52">
        <v>45595</v>
      </c>
      <c r="P52" t="s">
        <v>127</v>
      </c>
      <c r="Q52" t="s">
        <v>202</v>
      </c>
      <c r="R52" t="s">
        <v>259</v>
      </c>
      <c r="S52" t="s">
        <v>172</v>
      </c>
    </row>
    <row r="53" spans="1:19" x14ac:dyDescent="0.3">
      <c r="A53" t="s">
        <v>82</v>
      </c>
      <c r="B53" t="s">
        <v>25</v>
      </c>
      <c r="C53" t="s">
        <v>237</v>
      </c>
      <c r="D53" t="s">
        <v>5</v>
      </c>
      <c r="E53" t="s">
        <v>102</v>
      </c>
      <c r="F53" t="s">
        <v>113</v>
      </c>
      <c r="G53" t="s">
        <v>79</v>
      </c>
      <c r="H53" t="s">
        <v>83</v>
      </c>
      <c r="I53">
        <v>9399</v>
      </c>
      <c r="J53" t="s">
        <v>79</v>
      </c>
      <c r="K53">
        <v>45</v>
      </c>
      <c r="L53">
        <v>31</v>
      </c>
      <c r="M53">
        <v>45549</v>
      </c>
      <c r="N53">
        <v>45594</v>
      </c>
      <c r="O53">
        <v>45580</v>
      </c>
      <c r="P53" t="s">
        <v>127</v>
      </c>
      <c r="Q53" t="s">
        <v>202</v>
      </c>
      <c r="R53" t="s">
        <v>258</v>
      </c>
      <c r="S53" t="s">
        <v>101</v>
      </c>
    </row>
    <row r="54" spans="1:19" x14ac:dyDescent="0.3">
      <c r="A54" t="s">
        <v>224</v>
      </c>
      <c r="B54" t="s">
        <v>84</v>
      </c>
      <c r="C54" t="s">
        <v>237</v>
      </c>
      <c r="D54" t="s">
        <v>5</v>
      </c>
      <c r="E54" t="s">
        <v>103</v>
      </c>
      <c r="F54" t="s">
        <v>113</v>
      </c>
      <c r="G54" t="s">
        <v>79</v>
      </c>
      <c r="H54" t="s">
        <v>85</v>
      </c>
      <c r="I54">
        <v>11817</v>
      </c>
      <c r="J54" t="s">
        <v>79</v>
      </c>
      <c r="K54">
        <v>45</v>
      </c>
      <c r="L54">
        <v>31</v>
      </c>
      <c r="M54">
        <v>45549</v>
      </c>
      <c r="N54">
        <v>45594</v>
      </c>
      <c r="O54">
        <v>45580</v>
      </c>
      <c r="P54" t="s">
        <v>127</v>
      </c>
      <c r="Q54" t="s">
        <v>202</v>
      </c>
      <c r="R54" t="s">
        <v>258</v>
      </c>
      <c r="S54" t="s">
        <v>101</v>
      </c>
    </row>
    <row r="55" spans="1:19" x14ac:dyDescent="0.3">
      <c r="A55" t="s">
        <v>225</v>
      </c>
      <c r="B55" t="s">
        <v>62</v>
      </c>
      <c r="C55" t="s">
        <v>241</v>
      </c>
      <c r="D55" t="s">
        <v>5</v>
      </c>
      <c r="E55" t="s">
        <v>124</v>
      </c>
      <c r="F55" t="s">
        <v>114</v>
      </c>
      <c r="G55" t="s">
        <v>79</v>
      </c>
      <c r="H55" t="s">
        <v>194</v>
      </c>
      <c r="I55">
        <v>8349</v>
      </c>
      <c r="J55" t="s">
        <v>79</v>
      </c>
      <c r="K55">
        <v>45</v>
      </c>
      <c r="L55">
        <v>35</v>
      </c>
      <c r="M55">
        <v>45549</v>
      </c>
      <c r="N55">
        <v>45594</v>
      </c>
      <c r="O55">
        <v>45584</v>
      </c>
      <c r="P55" t="s">
        <v>127</v>
      </c>
      <c r="Q55" t="s">
        <v>202</v>
      </c>
      <c r="R55" t="s">
        <v>258</v>
      </c>
      <c r="S55" t="s">
        <v>172</v>
      </c>
    </row>
    <row r="56" spans="1:19" x14ac:dyDescent="0.3">
      <c r="A56" t="s">
        <v>226</v>
      </c>
      <c r="B56" t="s">
        <v>86</v>
      </c>
      <c r="C56" t="s">
        <v>241</v>
      </c>
      <c r="D56" t="s">
        <v>5</v>
      </c>
      <c r="E56" t="s">
        <v>103</v>
      </c>
      <c r="F56" t="s">
        <v>112</v>
      </c>
      <c r="G56" t="s">
        <v>79</v>
      </c>
      <c r="H56" s="21" t="s">
        <v>87</v>
      </c>
      <c r="I56">
        <v>17886</v>
      </c>
      <c r="J56" t="s">
        <v>79</v>
      </c>
      <c r="K56">
        <v>45</v>
      </c>
      <c r="L56">
        <v>0</v>
      </c>
      <c r="M56">
        <v>45549</v>
      </c>
      <c r="N56">
        <v>45594</v>
      </c>
      <c r="P56" t="s">
        <v>162</v>
      </c>
      <c r="Q56" t="s">
        <v>202</v>
      </c>
      <c r="R56" t="s">
        <v>258</v>
      </c>
      <c r="S56" t="s">
        <v>101</v>
      </c>
    </row>
    <row r="57" spans="1:19" x14ac:dyDescent="0.3">
      <c r="A57" t="s">
        <v>226</v>
      </c>
      <c r="B57" t="s">
        <v>86</v>
      </c>
      <c r="C57" t="s">
        <v>241</v>
      </c>
      <c r="D57" t="s">
        <v>5</v>
      </c>
      <c r="E57" t="s">
        <v>103</v>
      </c>
      <c r="F57" t="s">
        <v>112</v>
      </c>
      <c r="G57" t="s">
        <v>79</v>
      </c>
      <c r="H57" s="21" t="s">
        <v>87</v>
      </c>
      <c r="I57">
        <v>17886</v>
      </c>
      <c r="J57" t="s">
        <v>79</v>
      </c>
      <c r="K57">
        <v>45</v>
      </c>
      <c r="L57">
        <v>0</v>
      </c>
      <c r="M57">
        <v>45549</v>
      </c>
      <c r="N57">
        <v>45594</v>
      </c>
      <c r="P57" t="s">
        <v>162</v>
      </c>
      <c r="Q57" t="s">
        <v>202</v>
      </c>
      <c r="R57" t="s">
        <v>258</v>
      </c>
      <c r="S57" t="s">
        <v>101</v>
      </c>
    </row>
    <row r="58" spans="1:19" x14ac:dyDescent="0.3">
      <c r="A58" t="s">
        <v>88</v>
      </c>
      <c r="B58" t="s">
        <v>47</v>
      </c>
      <c r="C58" t="s">
        <v>241</v>
      </c>
      <c r="D58" t="s">
        <v>5</v>
      </c>
      <c r="E58" t="s">
        <v>103</v>
      </c>
      <c r="F58" t="s">
        <v>112</v>
      </c>
      <c r="G58" t="s">
        <v>12</v>
      </c>
      <c r="H58" s="21" t="s">
        <v>89</v>
      </c>
      <c r="I58">
        <v>10987</v>
      </c>
      <c r="J58" t="s">
        <v>12</v>
      </c>
      <c r="K58">
        <v>45</v>
      </c>
      <c r="L58">
        <v>29</v>
      </c>
      <c r="M58">
        <v>45549</v>
      </c>
      <c r="N58">
        <v>45594</v>
      </c>
      <c r="O58">
        <v>45578</v>
      </c>
      <c r="P58" t="s">
        <v>127</v>
      </c>
      <c r="Q58" t="s">
        <v>202</v>
      </c>
      <c r="R58" t="s">
        <v>258</v>
      </c>
      <c r="S58" t="s">
        <v>101</v>
      </c>
    </row>
    <row r="59" spans="1:19" x14ac:dyDescent="0.3">
      <c r="A59" t="s">
        <v>88</v>
      </c>
      <c r="B59" t="s">
        <v>47</v>
      </c>
      <c r="C59" t="s">
        <v>241</v>
      </c>
      <c r="D59" t="s">
        <v>5</v>
      </c>
      <c r="E59" t="s">
        <v>103</v>
      </c>
      <c r="F59" t="s">
        <v>112</v>
      </c>
      <c r="G59" t="s">
        <v>12</v>
      </c>
      <c r="H59" s="21" t="s">
        <v>89</v>
      </c>
      <c r="I59">
        <v>10987</v>
      </c>
      <c r="J59" t="s">
        <v>12</v>
      </c>
      <c r="K59">
        <v>45</v>
      </c>
      <c r="L59">
        <v>29</v>
      </c>
      <c r="M59">
        <v>45549</v>
      </c>
      <c r="N59">
        <v>45594</v>
      </c>
      <c r="O59">
        <v>45578</v>
      </c>
      <c r="P59" t="s">
        <v>127</v>
      </c>
      <c r="Q59" t="s">
        <v>202</v>
      </c>
      <c r="R59" t="s">
        <v>258</v>
      </c>
      <c r="S59" t="s">
        <v>101</v>
      </c>
    </row>
    <row r="60" spans="1:19" x14ac:dyDescent="0.3">
      <c r="A60" t="s">
        <v>227</v>
      </c>
      <c r="B60" t="s">
        <v>91</v>
      </c>
      <c r="C60" t="s">
        <v>241</v>
      </c>
      <c r="D60" t="s">
        <v>5</v>
      </c>
      <c r="E60" t="s">
        <v>122</v>
      </c>
      <c r="F60" t="s">
        <v>114</v>
      </c>
      <c r="G60" t="s">
        <v>12</v>
      </c>
      <c r="H60" t="s">
        <v>44</v>
      </c>
      <c r="I60">
        <v>10319</v>
      </c>
      <c r="J60" t="s">
        <v>12</v>
      </c>
      <c r="K60">
        <v>45</v>
      </c>
      <c r="L60">
        <v>35</v>
      </c>
      <c r="M60">
        <v>45549</v>
      </c>
      <c r="N60">
        <v>45594</v>
      </c>
      <c r="O60">
        <v>45584</v>
      </c>
      <c r="P60" t="s">
        <v>127</v>
      </c>
      <c r="Q60" t="s">
        <v>202</v>
      </c>
      <c r="R60" t="s">
        <v>258</v>
      </c>
      <c r="S60" t="s">
        <v>172</v>
      </c>
    </row>
    <row r="61" spans="1:19" x14ac:dyDescent="0.3">
      <c r="A61" t="s">
        <v>228</v>
      </c>
      <c r="B61" t="s">
        <v>77</v>
      </c>
      <c r="C61" t="s">
        <v>243</v>
      </c>
      <c r="D61" t="s">
        <v>5</v>
      </c>
      <c r="E61" t="s">
        <v>111</v>
      </c>
      <c r="F61" t="s">
        <v>116</v>
      </c>
      <c r="G61" t="s">
        <v>79</v>
      </c>
      <c r="H61" t="s">
        <v>78</v>
      </c>
      <c r="I61">
        <v>12999</v>
      </c>
      <c r="J61" t="s">
        <v>79</v>
      </c>
      <c r="K61">
        <v>67</v>
      </c>
      <c r="L61">
        <v>33</v>
      </c>
      <c r="M61">
        <v>45549</v>
      </c>
      <c r="N61">
        <v>45616</v>
      </c>
      <c r="O61">
        <v>45582</v>
      </c>
      <c r="P61" t="s">
        <v>127</v>
      </c>
      <c r="Q61" t="s">
        <v>202</v>
      </c>
      <c r="R61" t="s">
        <v>258</v>
      </c>
      <c r="S61" t="s">
        <v>101</v>
      </c>
    </row>
    <row r="62" spans="1:19" x14ac:dyDescent="0.3">
      <c r="A62" t="s">
        <v>80</v>
      </c>
      <c r="B62" t="s">
        <v>81</v>
      </c>
      <c r="C62" t="s">
        <v>240</v>
      </c>
      <c r="D62" t="s">
        <v>5</v>
      </c>
      <c r="E62" t="s">
        <v>110</v>
      </c>
      <c r="F62" t="s">
        <v>113</v>
      </c>
      <c r="G62" t="s">
        <v>12</v>
      </c>
      <c r="H62" t="s">
        <v>72</v>
      </c>
      <c r="I62">
        <v>21999</v>
      </c>
      <c r="J62" t="s">
        <v>12</v>
      </c>
      <c r="K62">
        <v>67</v>
      </c>
      <c r="L62">
        <v>0</v>
      </c>
      <c r="M62">
        <v>45549</v>
      </c>
      <c r="N62">
        <v>45616</v>
      </c>
      <c r="P62" t="s">
        <v>162</v>
      </c>
      <c r="Q62" t="s">
        <v>202</v>
      </c>
      <c r="R62" t="s">
        <v>258</v>
      </c>
      <c r="S62" t="s">
        <v>107</v>
      </c>
    </row>
    <row r="63" spans="1:19" x14ac:dyDescent="0.3">
      <c r="A63" t="s">
        <v>229</v>
      </c>
      <c r="B63" t="s">
        <v>62</v>
      </c>
      <c r="C63" t="s">
        <v>241</v>
      </c>
      <c r="D63" t="s">
        <v>5</v>
      </c>
      <c r="E63" t="s">
        <v>111</v>
      </c>
      <c r="F63" t="s">
        <v>116</v>
      </c>
      <c r="G63" t="s">
        <v>12</v>
      </c>
      <c r="H63" t="s">
        <v>197</v>
      </c>
      <c r="I63">
        <v>12399</v>
      </c>
      <c r="J63" t="s">
        <v>12</v>
      </c>
      <c r="K63">
        <v>67</v>
      </c>
      <c r="L63">
        <v>17</v>
      </c>
      <c r="M63">
        <v>45549</v>
      </c>
      <c r="N63">
        <v>45616</v>
      </c>
      <c r="O63">
        <v>45566</v>
      </c>
      <c r="P63" t="s">
        <v>127</v>
      </c>
      <c r="Q63" t="s">
        <v>202</v>
      </c>
      <c r="R63" t="s">
        <v>258</v>
      </c>
      <c r="S63" t="s">
        <v>101</v>
      </c>
    </row>
    <row r="64" spans="1:19" x14ac:dyDescent="0.3">
      <c r="A64" t="s">
        <v>90</v>
      </c>
      <c r="B64" t="s">
        <v>47</v>
      </c>
      <c r="C64" t="s">
        <v>241</v>
      </c>
      <c r="D64" t="s">
        <v>5</v>
      </c>
      <c r="E64" t="s">
        <v>110</v>
      </c>
      <c r="F64" t="s">
        <v>113</v>
      </c>
      <c r="G64" t="s">
        <v>12</v>
      </c>
      <c r="H64" t="s">
        <v>72</v>
      </c>
      <c r="I64">
        <v>21999</v>
      </c>
      <c r="J64" t="s">
        <v>12</v>
      </c>
      <c r="K64">
        <v>67</v>
      </c>
      <c r="L64">
        <v>25</v>
      </c>
      <c r="M64">
        <v>45549</v>
      </c>
      <c r="N64">
        <v>45616</v>
      </c>
      <c r="O64">
        <v>45574</v>
      </c>
      <c r="P64" t="s">
        <v>127</v>
      </c>
      <c r="Q64" t="s">
        <v>202</v>
      </c>
      <c r="R64" t="s">
        <v>258</v>
      </c>
      <c r="S64" t="s">
        <v>107</v>
      </c>
    </row>
    <row r="65" spans="1:19" x14ac:dyDescent="0.3">
      <c r="A65" t="s">
        <v>230</v>
      </c>
      <c r="B65" t="s">
        <v>43</v>
      </c>
      <c r="C65" t="s">
        <v>241</v>
      </c>
      <c r="D65" t="s">
        <v>5</v>
      </c>
      <c r="E65" t="s">
        <v>111</v>
      </c>
      <c r="F65" t="s">
        <v>112</v>
      </c>
      <c r="G65" t="s">
        <v>79</v>
      </c>
      <c r="H65" t="s">
        <v>92</v>
      </c>
      <c r="I65">
        <v>10999</v>
      </c>
      <c r="J65" t="s">
        <v>79</v>
      </c>
      <c r="K65">
        <v>67</v>
      </c>
      <c r="L65">
        <v>32</v>
      </c>
      <c r="M65">
        <v>45549</v>
      </c>
      <c r="N65">
        <v>45616</v>
      </c>
      <c r="O65">
        <v>45581</v>
      </c>
      <c r="P65" t="s">
        <v>127</v>
      </c>
      <c r="Q65" t="s">
        <v>202</v>
      </c>
      <c r="R65" t="s">
        <v>258</v>
      </c>
      <c r="S65" t="s">
        <v>101</v>
      </c>
    </row>
    <row r="66" spans="1:19" x14ac:dyDescent="0.3">
      <c r="A66" t="s">
        <v>271</v>
      </c>
      <c r="B66" t="s">
        <v>120</v>
      </c>
      <c r="C66" t="s">
        <v>241</v>
      </c>
      <c r="D66" t="s">
        <v>5</v>
      </c>
      <c r="E66" t="s">
        <v>111</v>
      </c>
      <c r="F66" t="s">
        <v>112</v>
      </c>
      <c r="G66" t="s">
        <v>79</v>
      </c>
      <c r="H66" t="s">
        <v>197</v>
      </c>
      <c r="I66">
        <v>10999</v>
      </c>
      <c r="J66" t="s">
        <v>79</v>
      </c>
      <c r="K66">
        <v>66</v>
      </c>
      <c r="L66">
        <v>31</v>
      </c>
      <c r="M66">
        <v>45550</v>
      </c>
      <c r="N66">
        <v>45616</v>
      </c>
      <c r="O66">
        <v>45581</v>
      </c>
      <c r="P66" t="s">
        <v>127</v>
      </c>
      <c r="Q66" t="s">
        <v>202</v>
      </c>
      <c r="R66" t="s">
        <v>258</v>
      </c>
      <c r="S66" t="s">
        <v>101</v>
      </c>
    </row>
    <row r="67" spans="1:19" x14ac:dyDescent="0.3">
      <c r="A67" t="s">
        <v>271</v>
      </c>
      <c r="B67" t="s">
        <v>120</v>
      </c>
      <c r="C67" t="s">
        <v>241</v>
      </c>
      <c r="D67" t="s">
        <v>5</v>
      </c>
      <c r="E67" t="s">
        <v>111</v>
      </c>
      <c r="F67" t="s">
        <v>112</v>
      </c>
      <c r="G67" t="s">
        <v>79</v>
      </c>
      <c r="H67" t="s">
        <v>197</v>
      </c>
      <c r="I67">
        <v>10999</v>
      </c>
      <c r="J67" t="s">
        <v>79</v>
      </c>
      <c r="K67">
        <v>66</v>
      </c>
      <c r="L67">
        <v>31</v>
      </c>
      <c r="M67">
        <v>45550</v>
      </c>
      <c r="N67">
        <v>45616</v>
      </c>
      <c r="O67">
        <v>45581</v>
      </c>
      <c r="P67" t="s">
        <v>127</v>
      </c>
      <c r="Q67" t="s">
        <v>202</v>
      </c>
      <c r="R67" t="s">
        <v>258</v>
      </c>
      <c r="S67" t="s">
        <v>101</v>
      </c>
    </row>
    <row r="68" spans="1:19" x14ac:dyDescent="0.3">
      <c r="A68" t="s">
        <v>272</v>
      </c>
      <c r="B68" t="s">
        <v>121</v>
      </c>
      <c r="C68" t="s">
        <v>241</v>
      </c>
      <c r="D68" t="s">
        <v>5</v>
      </c>
      <c r="E68" t="s">
        <v>110</v>
      </c>
      <c r="F68" t="s">
        <v>113</v>
      </c>
      <c r="G68" t="s">
        <v>79</v>
      </c>
      <c r="H68" t="s">
        <v>72</v>
      </c>
      <c r="I68">
        <v>21999</v>
      </c>
      <c r="J68" t="s">
        <v>79</v>
      </c>
      <c r="K68">
        <v>66</v>
      </c>
      <c r="L68">
        <v>34</v>
      </c>
      <c r="M68">
        <v>45550</v>
      </c>
      <c r="N68">
        <v>45616</v>
      </c>
      <c r="O68">
        <v>45584</v>
      </c>
      <c r="P68" t="s">
        <v>127</v>
      </c>
      <c r="Q68" t="s">
        <v>202</v>
      </c>
      <c r="R68" t="s">
        <v>258</v>
      </c>
      <c r="S68" t="s">
        <v>107</v>
      </c>
    </row>
    <row r="69" spans="1:19" x14ac:dyDescent="0.3">
      <c r="A69" t="s">
        <v>126</v>
      </c>
      <c r="B69" t="s">
        <v>96</v>
      </c>
      <c r="C69" t="s">
        <v>137</v>
      </c>
      <c r="D69" t="s">
        <v>5</v>
      </c>
      <c r="E69" t="s">
        <v>122</v>
      </c>
      <c r="F69" t="s">
        <v>114</v>
      </c>
      <c r="G69" t="s">
        <v>247</v>
      </c>
      <c r="H69" t="s">
        <v>44</v>
      </c>
      <c r="I69">
        <v>7849</v>
      </c>
      <c r="J69">
        <v>6306</v>
      </c>
      <c r="K69">
        <v>44</v>
      </c>
      <c r="L69">
        <v>59</v>
      </c>
      <c r="M69">
        <v>45551</v>
      </c>
      <c r="N69">
        <v>45595</v>
      </c>
      <c r="O69">
        <v>45610</v>
      </c>
      <c r="P69" t="s">
        <v>127</v>
      </c>
      <c r="Q69" t="s">
        <v>202</v>
      </c>
      <c r="R69" t="s">
        <v>259</v>
      </c>
      <c r="S69" t="s">
        <v>172</v>
      </c>
    </row>
    <row r="70" spans="1:19" x14ac:dyDescent="0.3">
      <c r="A70" t="s">
        <v>57</v>
      </c>
      <c r="B70" t="s">
        <v>128</v>
      </c>
      <c r="C70" t="s">
        <v>242</v>
      </c>
      <c r="D70" t="s">
        <v>39</v>
      </c>
      <c r="E70" t="s">
        <v>111</v>
      </c>
      <c r="F70" t="s">
        <v>112</v>
      </c>
      <c r="G70" t="s">
        <v>59</v>
      </c>
      <c r="H70" s="21" t="s">
        <v>87</v>
      </c>
      <c r="I70">
        <v>5074</v>
      </c>
      <c r="J70" t="s">
        <v>59</v>
      </c>
      <c r="K70">
        <v>14</v>
      </c>
      <c r="L70">
        <v>21</v>
      </c>
      <c r="M70">
        <v>45556</v>
      </c>
      <c r="N70">
        <v>45570</v>
      </c>
      <c r="O70">
        <v>45577</v>
      </c>
      <c r="P70" t="s">
        <v>127</v>
      </c>
      <c r="Q70" t="s">
        <v>204</v>
      </c>
      <c r="R70" t="s">
        <v>259</v>
      </c>
      <c r="S70" t="s">
        <v>101</v>
      </c>
    </row>
    <row r="71" spans="1:19" x14ac:dyDescent="0.3">
      <c r="A71" t="s">
        <v>28</v>
      </c>
      <c r="B71" t="s">
        <v>27</v>
      </c>
      <c r="C71" t="s">
        <v>241</v>
      </c>
      <c r="D71" t="s">
        <v>267</v>
      </c>
      <c r="E71" t="s">
        <v>111</v>
      </c>
      <c r="F71" t="s">
        <v>129</v>
      </c>
      <c r="G71" t="s">
        <v>59</v>
      </c>
      <c r="H71" t="s">
        <v>83</v>
      </c>
      <c r="I71">
        <v>6250</v>
      </c>
      <c r="J71" t="s">
        <v>59</v>
      </c>
      <c r="K71">
        <v>15</v>
      </c>
      <c r="L71">
        <v>24</v>
      </c>
      <c r="M71">
        <v>45558</v>
      </c>
      <c r="N71">
        <v>45573</v>
      </c>
      <c r="O71">
        <v>45582</v>
      </c>
      <c r="P71" t="s">
        <v>127</v>
      </c>
      <c r="Q71" t="s">
        <v>204</v>
      </c>
      <c r="R71" t="s">
        <v>259</v>
      </c>
      <c r="S71" t="s">
        <v>101</v>
      </c>
    </row>
    <row r="72" spans="1:19" x14ac:dyDescent="0.3">
      <c r="A72" t="s">
        <v>28</v>
      </c>
      <c r="B72" t="s">
        <v>27</v>
      </c>
      <c r="C72" t="s">
        <v>241</v>
      </c>
      <c r="D72" t="s">
        <v>267</v>
      </c>
      <c r="E72" t="s">
        <v>111</v>
      </c>
      <c r="F72" t="s">
        <v>129</v>
      </c>
      <c r="G72" t="s">
        <v>59</v>
      </c>
      <c r="H72" t="s">
        <v>83</v>
      </c>
      <c r="I72">
        <v>6250</v>
      </c>
      <c r="J72" t="s">
        <v>59</v>
      </c>
      <c r="K72">
        <v>15</v>
      </c>
      <c r="L72">
        <v>24</v>
      </c>
      <c r="M72">
        <v>45558</v>
      </c>
      <c r="N72">
        <v>45573</v>
      </c>
      <c r="O72">
        <v>45582</v>
      </c>
      <c r="P72" t="s">
        <v>127</v>
      </c>
      <c r="Q72" t="s">
        <v>204</v>
      </c>
      <c r="R72" t="s">
        <v>259</v>
      </c>
      <c r="S72" t="s">
        <v>101</v>
      </c>
    </row>
    <row r="73" spans="1:19" x14ac:dyDescent="0.3">
      <c r="A73" t="s">
        <v>130</v>
      </c>
      <c r="B73" t="s">
        <v>27</v>
      </c>
      <c r="C73" t="s">
        <v>241</v>
      </c>
      <c r="D73" t="s">
        <v>5</v>
      </c>
      <c r="E73" t="s">
        <v>103</v>
      </c>
      <c r="F73" t="s">
        <v>112</v>
      </c>
      <c r="G73" t="s">
        <v>247</v>
      </c>
      <c r="H73" t="s">
        <v>83</v>
      </c>
      <c r="I73">
        <v>8943</v>
      </c>
      <c r="J73">
        <v>9033</v>
      </c>
      <c r="K73">
        <v>45</v>
      </c>
      <c r="L73">
        <v>14</v>
      </c>
      <c r="M73">
        <v>45561</v>
      </c>
      <c r="N73">
        <v>45606</v>
      </c>
      <c r="O73">
        <v>45575</v>
      </c>
      <c r="P73" t="s">
        <v>127</v>
      </c>
      <c r="Q73" t="s">
        <v>202</v>
      </c>
      <c r="R73" t="s">
        <v>258</v>
      </c>
      <c r="S73" t="s">
        <v>101</v>
      </c>
    </row>
    <row r="74" spans="1:19" x14ac:dyDescent="0.3">
      <c r="A74" t="s">
        <v>131</v>
      </c>
      <c r="B74" t="s">
        <v>132</v>
      </c>
      <c r="C74" t="s">
        <v>237</v>
      </c>
      <c r="D74" t="s">
        <v>5</v>
      </c>
      <c r="E74" t="s">
        <v>124</v>
      </c>
      <c r="F74" t="s">
        <v>114</v>
      </c>
      <c r="G74" t="s">
        <v>247</v>
      </c>
      <c r="H74" t="s">
        <v>44</v>
      </c>
      <c r="I74">
        <v>8349</v>
      </c>
      <c r="J74">
        <v>8433</v>
      </c>
      <c r="K74">
        <v>45</v>
      </c>
      <c r="L74">
        <v>0</v>
      </c>
      <c r="M74">
        <v>45561</v>
      </c>
      <c r="N74">
        <v>45606</v>
      </c>
      <c r="P74" t="s">
        <v>162</v>
      </c>
      <c r="Q74" t="s">
        <v>202</v>
      </c>
      <c r="R74" t="s">
        <v>258</v>
      </c>
      <c r="S74" t="s">
        <v>172</v>
      </c>
    </row>
    <row r="75" spans="1:19" x14ac:dyDescent="0.3">
      <c r="A75" t="s">
        <v>36</v>
      </c>
      <c r="B75" t="s">
        <v>145</v>
      </c>
      <c r="C75" t="s">
        <v>241</v>
      </c>
      <c r="D75" t="s">
        <v>36</v>
      </c>
      <c r="E75" t="s">
        <v>133</v>
      </c>
      <c r="F75" t="s">
        <v>114</v>
      </c>
      <c r="G75" t="s">
        <v>12</v>
      </c>
      <c r="H75" t="s">
        <v>72</v>
      </c>
      <c r="I75">
        <v>14950</v>
      </c>
      <c r="J75" t="s">
        <v>12</v>
      </c>
      <c r="K75">
        <v>18</v>
      </c>
      <c r="L75">
        <v>17</v>
      </c>
      <c r="M75">
        <v>45561</v>
      </c>
      <c r="N75">
        <v>45579</v>
      </c>
      <c r="O75">
        <v>45578</v>
      </c>
      <c r="P75" t="s">
        <v>127</v>
      </c>
      <c r="Q75" t="s">
        <v>204</v>
      </c>
      <c r="R75" t="s">
        <v>258</v>
      </c>
      <c r="S75" t="s">
        <v>107</v>
      </c>
    </row>
    <row r="76" spans="1:19" x14ac:dyDescent="0.3">
      <c r="A76" t="s">
        <v>36</v>
      </c>
      <c r="B76" t="s">
        <v>273</v>
      </c>
      <c r="C76" t="s">
        <v>266</v>
      </c>
      <c r="D76" t="s">
        <v>36</v>
      </c>
      <c r="E76" t="s">
        <v>111</v>
      </c>
      <c r="F76" t="s">
        <v>113</v>
      </c>
      <c r="G76" t="s">
        <v>247</v>
      </c>
      <c r="H76" t="s">
        <v>64</v>
      </c>
      <c r="I76">
        <v>9208</v>
      </c>
      <c r="J76">
        <v>9608</v>
      </c>
      <c r="K76">
        <v>18</v>
      </c>
      <c r="L76">
        <v>0</v>
      </c>
      <c r="M76">
        <v>45561</v>
      </c>
      <c r="N76">
        <v>45579</v>
      </c>
      <c r="P76" t="s">
        <v>162</v>
      </c>
      <c r="Q76" t="s">
        <v>204</v>
      </c>
      <c r="R76" t="s">
        <v>258</v>
      </c>
      <c r="S76" t="s">
        <v>101</v>
      </c>
    </row>
    <row r="77" spans="1:19" x14ac:dyDescent="0.3">
      <c r="A77" t="s">
        <v>36</v>
      </c>
      <c r="B77" t="s">
        <v>273</v>
      </c>
      <c r="C77" t="s">
        <v>266</v>
      </c>
      <c r="D77" t="s">
        <v>36</v>
      </c>
      <c r="E77" t="s">
        <v>103</v>
      </c>
      <c r="F77" t="s">
        <v>112</v>
      </c>
      <c r="G77" t="s">
        <v>12</v>
      </c>
      <c r="H77" t="s">
        <v>64</v>
      </c>
      <c r="I77">
        <v>7433</v>
      </c>
      <c r="J77" t="s">
        <v>12</v>
      </c>
      <c r="K77">
        <v>21</v>
      </c>
      <c r="L77">
        <v>22</v>
      </c>
      <c r="M77">
        <v>45564</v>
      </c>
      <c r="N77">
        <v>45585</v>
      </c>
      <c r="O77">
        <v>45586</v>
      </c>
      <c r="P77" t="s">
        <v>127</v>
      </c>
      <c r="Q77" t="s">
        <v>204</v>
      </c>
      <c r="R77" t="s">
        <v>259</v>
      </c>
      <c r="S77" t="s">
        <v>101</v>
      </c>
    </row>
    <row r="78" spans="1:19" x14ac:dyDescent="0.3">
      <c r="A78" t="s">
        <v>57</v>
      </c>
      <c r="B78" t="s">
        <v>128</v>
      </c>
      <c r="C78" t="s">
        <v>242</v>
      </c>
      <c r="D78" t="s">
        <v>39</v>
      </c>
      <c r="E78" t="s">
        <v>103</v>
      </c>
      <c r="F78" t="s">
        <v>112</v>
      </c>
      <c r="G78" t="s">
        <v>59</v>
      </c>
      <c r="H78" t="s">
        <v>64</v>
      </c>
      <c r="I78">
        <v>4020</v>
      </c>
      <c r="J78" t="s">
        <v>59</v>
      </c>
      <c r="K78">
        <v>13</v>
      </c>
      <c r="L78">
        <v>13</v>
      </c>
      <c r="M78">
        <v>45564</v>
      </c>
      <c r="N78">
        <v>45577</v>
      </c>
      <c r="O78">
        <v>45577</v>
      </c>
      <c r="P78" t="s">
        <v>127</v>
      </c>
      <c r="Q78" t="s">
        <v>204</v>
      </c>
      <c r="R78" t="s">
        <v>258</v>
      </c>
      <c r="S78" t="s">
        <v>101</v>
      </c>
    </row>
    <row r="79" spans="1:19" x14ac:dyDescent="0.3">
      <c r="A79" t="s">
        <v>135</v>
      </c>
      <c r="B79" t="s">
        <v>136</v>
      </c>
      <c r="C79" t="s">
        <v>137</v>
      </c>
      <c r="D79" t="s">
        <v>137</v>
      </c>
      <c r="E79" t="s">
        <v>111</v>
      </c>
      <c r="F79" t="s">
        <v>150</v>
      </c>
      <c r="G79">
        <v>0</v>
      </c>
      <c r="H79" t="s">
        <v>35</v>
      </c>
      <c r="I79">
        <v>8544.9054400000005</v>
      </c>
      <c r="K79">
        <v>8</v>
      </c>
      <c r="L79">
        <v>8</v>
      </c>
      <c r="M79">
        <v>45566</v>
      </c>
      <c r="N79">
        <v>45574</v>
      </c>
      <c r="O79">
        <v>45574</v>
      </c>
      <c r="P79" t="s">
        <v>127</v>
      </c>
      <c r="Q79" t="s">
        <v>202</v>
      </c>
      <c r="R79" t="s">
        <v>258</v>
      </c>
      <c r="S79" t="s">
        <v>101</v>
      </c>
    </row>
    <row r="80" spans="1:19" x14ac:dyDescent="0.3">
      <c r="A80" t="s">
        <v>135</v>
      </c>
      <c r="B80" t="s">
        <v>136</v>
      </c>
      <c r="C80" t="s">
        <v>137</v>
      </c>
      <c r="D80" t="s">
        <v>137</v>
      </c>
      <c r="E80" t="s">
        <v>102</v>
      </c>
      <c r="F80" t="s">
        <v>113</v>
      </c>
      <c r="G80">
        <v>0</v>
      </c>
      <c r="H80" t="s">
        <v>35</v>
      </c>
      <c r="I80">
        <v>4600</v>
      </c>
      <c r="K80">
        <v>8</v>
      </c>
      <c r="L80">
        <v>8</v>
      </c>
      <c r="M80">
        <v>45566</v>
      </c>
      <c r="N80">
        <v>45574</v>
      </c>
      <c r="O80">
        <v>45574</v>
      </c>
      <c r="P80" t="s">
        <v>127</v>
      </c>
      <c r="Q80" t="s">
        <v>202</v>
      </c>
      <c r="R80" t="s">
        <v>258</v>
      </c>
      <c r="S80" t="s">
        <v>101</v>
      </c>
    </row>
    <row r="81" spans="1:19" x14ac:dyDescent="0.3">
      <c r="A81" t="s">
        <v>135</v>
      </c>
      <c r="B81" t="s">
        <v>136</v>
      </c>
      <c r="C81" t="s">
        <v>137</v>
      </c>
      <c r="D81" t="s">
        <v>137</v>
      </c>
      <c r="E81" t="s">
        <v>138</v>
      </c>
      <c r="F81" t="s">
        <v>113</v>
      </c>
      <c r="G81">
        <v>0</v>
      </c>
      <c r="H81" t="s">
        <v>35</v>
      </c>
      <c r="I81">
        <v>10000</v>
      </c>
      <c r="K81">
        <v>8</v>
      </c>
      <c r="L81">
        <v>8</v>
      </c>
      <c r="M81">
        <v>45566</v>
      </c>
      <c r="N81">
        <v>45574</v>
      </c>
      <c r="O81">
        <v>45574</v>
      </c>
      <c r="P81" t="s">
        <v>127</v>
      </c>
      <c r="Q81" t="s">
        <v>202</v>
      </c>
      <c r="R81" t="s">
        <v>258</v>
      </c>
      <c r="S81" t="s">
        <v>107</v>
      </c>
    </row>
    <row r="82" spans="1:19" x14ac:dyDescent="0.3">
      <c r="A82" t="s">
        <v>135</v>
      </c>
      <c r="B82" t="s">
        <v>136</v>
      </c>
      <c r="C82" t="s">
        <v>137</v>
      </c>
      <c r="D82" t="s">
        <v>137</v>
      </c>
      <c r="F82" t="s">
        <v>113</v>
      </c>
      <c r="G82">
        <v>0</v>
      </c>
      <c r="H82" t="s">
        <v>35</v>
      </c>
      <c r="I82">
        <v>10000</v>
      </c>
      <c r="K82">
        <v>8</v>
      </c>
      <c r="L82">
        <v>8</v>
      </c>
      <c r="M82">
        <v>45566</v>
      </c>
      <c r="N82">
        <v>45574</v>
      </c>
      <c r="O82">
        <v>45574</v>
      </c>
      <c r="P82" t="s">
        <v>127</v>
      </c>
      <c r="Q82" t="s">
        <v>202</v>
      </c>
      <c r="R82" t="s">
        <v>258</v>
      </c>
      <c r="S82" t="s">
        <v>139</v>
      </c>
    </row>
    <row r="83" spans="1:19" x14ac:dyDescent="0.3">
      <c r="A83" t="s">
        <v>141</v>
      </c>
      <c r="B83" t="s">
        <v>142</v>
      </c>
      <c r="C83" t="s">
        <v>241</v>
      </c>
      <c r="D83" t="s">
        <v>5</v>
      </c>
      <c r="E83" t="s">
        <v>102</v>
      </c>
      <c r="F83" t="s">
        <v>113</v>
      </c>
      <c r="G83" t="s">
        <v>247</v>
      </c>
      <c r="H83" t="s">
        <v>37</v>
      </c>
      <c r="I83">
        <v>8899</v>
      </c>
      <c r="J83">
        <v>8988</v>
      </c>
      <c r="K83">
        <v>45</v>
      </c>
      <c r="L83">
        <v>0</v>
      </c>
      <c r="M83">
        <v>45568</v>
      </c>
      <c r="N83">
        <v>45613</v>
      </c>
      <c r="P83" t="s">
        <v>162</v>
      </c>
      <c r="Q83" t="s">
        <v>202</v>
      </c>
      <c r="R83" t="s">
        <v>258</v>
      </c>
      <c r="S83" t="s">
        <v>101</v>
      </c>
    </row>
    <row r="84" spans="1:19" x14ac:dyDescent="0.3">
      <c r="A84" t="s">
        <v>36</v>
      </c>
      <c r="B84" t="s">
        <v>143</v>
      </c>
      <c r="C84" t="s">
        <v>265</v>
      </c>
      <c r="D84" t="s">
        <v>36</v>
      </c>
      <c r="E84" t="s">
        <v>133</v>
      </c>
      <c r="F84" t="s">
        <v>113</v>
      </c>
      <c r="G84" t="s">
        <v>12</v>
      </c>
      <c r="I84">
        <v>14550</v>
      </c>
      <c r="J84" t="s">
        <v>12</v>
      </c>
      <c r="K84">
        <v>21</v>
      </c>
      <c r="L84">
        <v>22</v>
      </c>
      <c r="M84">
        <v>45573</v>
      </c>
      <c r="N84">
        <v>45594</v>
      </c>
      <c r="O84">
        <v>45595</v>
      </c>
      <c r="P84" t="s">
        <v>127</v>
      </c>
      <c r="Q84" t="s">
        <v>204</v>
      </c>
      <c r="R84" t="s">
        <v>259</v>
      </c>
      <c r="S84" t="s">
        <v>107</v>
      </c>
    </row>
    <row r="85" spans="1:19" x14ac:dyDescent="0.3">
      <c r="A85" t="s">
        <v>36</v>
      </c>
      <c r="B85" t="s">
        <v>144</v>
      </c>
      <c r="C85" t="s">
        <v>265</v>
      </c>
      <c r="D85" t="s">
        <v>36</v>
      </c>
      <c r="E85" t="s">
        <v>133</v>
      </c>
      <c r="F85" t="s">
        <v>113</v>
      </c>
      <c r="G85" t="s">
        <v>12</v>
      </c>
      <c r="I85">
        <v>14550</v>
      </c>
      <c r="J85" t="s">
        <v>12</v>
      </c>
      <c r="K85">
        <v>22</v>
      </c>
      <c r="L85">
        <v>8</v>
      </c>
      <c r="M85">
        <v>45572</v>
      </c>
      <c r="N85">
        <v>45594</v>
      </c>
      <c r="O85">
        <v>45580</v>
      </c>
      <c r="P85" t="s">
        <v>127</v>
      </c>
      <c r="Q85" t="s">
        <v>204</v>
      </c>
      <c r="R85" t="s">
        <v>258</v>
      </c>
      <c r="S85" t="s">
        <v>107</v>
      </c>
    </row>
    <row r="86" spans="1:19" x14ac:dyDescent="0.3">
      <c r="A86" t="s">
        <v>36</v>
      </c>
      <c r="B86" t="s">
        <v>273</v>
      </c>
      <c r="C86" t="s">
        <v>266</v>
      </c>
      <c r="D86" t="s">
        <v>36</v>
      </c>
      <c r="E86" t="s">
        <v>133</v>
      </c>
      <c r="F86" t="s">
        <v>113</v>
      </c>
      <c r="G86" t="s">
        <v>247</v>
      </c>
      <c r="I86">
        <v>14550</v>
      </c>
      <c r="J86">
        <v>11495</v>
      </c>
      <c r="K86">
        <v>21</v>
      </c>
      <c r="L86">
        <v>23</v>
      </c>
      <c r="M86">
        <v>45575</v>
      </c>
      <c r="N86">
        <v>45596</v>
      </c>
      <c r="O86">
        <v>45598</v>
      </c>
      <c r="P86" t="s">
        <v>127</v>
      </c>
      <c r="Q86" t="s">
        <v>204</v>
      </c>
      <c r="R86" t="s">
        <v>259</v>
      </c>
      <c r="S86" t="s">
        <v>107</v>
      </c>
    </row>
    <row r="87" spans="1:19" x14ac:dyDescent="0.3">
      <c r="A87" t="s">
        <v>152</v>
      </c>
      <c r="B87" t="s">
        <v>71</v>
      </c>
      <c r="C87" t="s">
        <v>241</v>
      </c>
      <c r="D87" t="s">
        <v>5</v>
      </c>
      <c r="E87" t="s">
        <v>111</v>
      </c>
      <c r="F87" t="s">
        <v>146</v>
      </c>
      <c r="G87" t="s">
        <v>247</v>
      </c>
      <c r="H87" t="s">
        <v>35</v>
      </c>
      <c r="I87">
        <v>12899</v>
      </c>
      <c r="J87">
        <v>13028</v>
      </c>
      <c r="K87">
        <v>65</v>
      </c>
      <c r="L87">
        <v>20</v>
      </c>
      <c r="M87">
        <v>45578</v>
      </c>
      <c r="N87">
        <v>45643</v>
      </c>
      <c r="O87">
        <v>45598</v>
      </c>
      <c r="P87" t="s">
        <v>127</v>
      </c>
      <c r="Q87" t="s">
        <v>202</v>
      </c>
      <c r="R87" t="s">
        <v>258</v>
      </c>
      <c r="S87" t="s">
        <v>101</v>
      </c>
    </row>
    <row r="88" spans="1:19" x14ac:dyDescent="0.3">
      <c r="A88" t="s">
        <v>221</v>
      </c>
      <c r="B88" t="s">
        <v>33</v>
      </c>
      <c r="C88" t="s">
        <v>241</v>
      </c>
      <c r="D88" t="s">
        <v>5</v>
      </c>
      <c r="E88" t="s">
        <v>111</v>
      </c>
      <c r="F88" t="s">
        <v>112</v>
      </c>
      <c r="G88" t="s">
        <v>12</v>
      </c>
      <c r="H88" t="s">
        <v>35</v>
      </c>
      <c r="I88">
        <v>10499</v>
      </c>
      <c r="J88" t="s">
        <v>12</v>
      </c>
      <c r="K88">
        <v>64</v>
      </c>
      <c r="L88">
        <v>5</v>
      </c>
      <c r="M88">
        <v>45581</v>
      </c>
      <c r="N88">
        <v>45645</v>
      </c>
      <c r="O88">
        <v>45586</v>
      </c>
      <c r="P88" t="s">
        <v>127</v>
      </c>
      <c r="Q88" t="s">
        <v>202</v>
      </c>
      <c r="R88" t="s">
        <v>258</v>
      </c>
      <c r="S88" t="s">
        <v>101</v>
      </c>
    </row>
    <row r="89" spans="1:19" x14ac:dyDescent="0.3">
      <c r="A89" t="s">
        <v>270</v>
      </c>
      <c r="B89" t="s">
        <v>147</v>
      </c>
      <c r="C89" t="s">
        <v>238</v>
      </c>
      <c r="D89" t="s">
        <v>5</v>
      </c>
      <c r="E89" t="s">
        <v>111</v>
      </c>
      <c r="F89" t="s">
        <v>146</v>
      </c>
      <c r="G89" t="s">
        <v>12</v>
      </c>
      <c r="H89" t="s">
        <v>35</v>
      </c>
      <c r="I89">
        <v>12899</v>
      </c>
      <c r="J89" t="s">
        <v>12</v>
      </c>
      <c r="K89">
        <v>66</v>
      </c>
      <c r="L89">
        <v>47</v>
      </c>
      <c r="M89">
        <v>45582</v>
      </c>
      <c r="N89">
        <v>45648</v>
      </c>
      <c r="O89">
        <v>45629</v>
      </c>
      <c r="P89" t="s">
        <v>127</v>
      </c>
      <c r="Q89" t="s">
        <v>202</v>
      </c>
      <c r="R89" t="s">
        <v>258</v>
      </c>
      <c r="S89" t="s">
        <v>101</v>
      </c>
    </row>
    <row r="90" spans="1:19" x14ac:dyDescent="0.3">
      <c r="A90" t="s">
        <v>148</v>
      </c>
      <c r="B90" t="s">
        <v>149</v>
      </c>
      <c r="C90" t="s">
        <v>241</v>
      </c>
      <c r="D90" t="s">
        <v>264</v>
      </c>
      <c r="E90" t="s">
        <v>103</v>
      </c>
      <c r="F90" t="s">
        <v>140</v>
      </c>
      <c r="G90" t="s">
        <v>12</v>
      </c>
      <c r="H90" t="s">
        <v>269</v>
      </c>
      <c r="I90">
        <v>5135</v>
      </c>
      <c r="J90" t="s">
        <v>12</v>
      </c>
      <c r="K90">
        <v>28</v>
      </c>
      <c r="L90">
        <v>25</v>
      </c>
      <c r="M90">
        <v>45585</v>
      </c>
      <c r="N90">
        <v>45613</v>
      </c>
      <c r="O90">
        <v>45610</v>
      </c>
      <c r="P90" t="s">
        <v>127</v>
      </c>
      <c r="Q90" t="s">
        <v>202</v>
      </c>
      <c r="R90" t="s">
        <v>258</v>
      </c>
      <c r="S90" t="s">
        <v>101</v>
      </c>
    </row>
    <row r="91" spans="1:19" x14ac:dyDescent="0.3">
      <c r="A91" t="s">
        <v>36</v>
      </c>
      <c r="B91" t="s">
        <v>132</v>
      </c>
      <c r="C91" t="s">
        <v>237</v>
      </c>
      <c r="D91" t="s">
        <v>36</v>
      </c>
      <c r="E91" t="s">
        <v>111</v>
      </c>
      <c r="F91" t="s">
        <v>150</v>
      </c>
      <c r="G91" t="s">
        <v>247</v>
      </c>
      <c r="H91" t="s">
        <v>35</v>
      </c>
      <c r="I91">
        <v>12777.5</v>
      </c>
      <c r="J91">
        <v>11277.5</v>
      </c>
      <c r="K91">
        <v>21</v>
      </c>
      <c r="L91">
        <v>27</v>
      </c>
      <c r="M91">
        <v>45587</v>
      </c>
      <c r="N91">
        <v>45608</v>
      </c>
      <c r="O91">
        <v>45614</v>
      </c>
      <c r="P91" t="s">
        <v>127</v>
      </c>
      <c r="Q91" t="s">
        <v>204</v>
      </c>
      <c r="R91" t="s">
        <v>259</v>
      </c>
      <c r="S91" t="s">
        <v>101</v>
      </c>
    </row>
    <row r="92" spans="1:19" x14ac:dyDescent="0.3">
      <c r="A92" t="s">
        <v>36</v>
      </c>
      <c r="B92" t="s">
        <v>132</v>
      </c>
      <c r="C92" t="s">
        <v>237</v>
      </c>
      <c r="D92" t="s">
        <v>36</v>
      </c>
      <c r="E92" t="s">
        <v>111</v>
      </c>
      <c r="F92" t="s">
        <v>150</v>
      </c>
      <c r="G92" t="s">
        <v>247</v>
      </c>
      <c r="H92" t="s">
        <v>35</v>
      </c>
      <c r="I92">
        <v>12777.5</v>
      </c>
      <c r="J92">
        <v>11277.5</v>
      </c>
      <c r="K92">
        <v>21</v>
      </c>
      <c r="L92">
        <v>27</v>
      </c>
      <c r="M92">
        <v>45587</v>
      </c>
      <c r="N92">
        <v>45608</v>
      </c>
      <c r="O92">
        <v>45614</v>
      </c>
      <c r="P92" t="s">
        <v>127</v>
      </c>
      <c r="Q92" t="s">
        <v>204</v>
      </c>
      <c r="R92" t="s">
        <v>259</v>
      </c>
      <c r="S92" t="s">
        <v>101</v>
      </c>
    </row>
    <row r="93" spans="1:19" x14ac:dyDescent="0.3">
      <c r="A93" t="s">
        <v>57</v>
      </c>
      <c r="B93" t="s">
        <v>151</v>
      </c>
      <c r="C93" t="s">
        <v>241</v>
      </c>
      <c r="D93" t="s">
        <v>39</v>
      </c>
      <c r="E93" t="s">
        <v>111</v>
      </c>
      <c r="F93" t="s">
        <v>150</v>
      </c>
      <c r="G93" t="s">
        <v>59</v>
      </c>
      <c r="H93" t="s">
        <v>35</v>
      </c>
      <c r="I93">
        <v>8544.91</v>
      </c>
      <c r="J93" t="s">
        <v>59</v>
      </c>
      <c r="K93">
        <v>0</v>
      </c>
      <c r="L93">
        <v>0</v>
      </c>
      <c r="M93">
        <v>45587</v>
      </c>
      <c r="P93" t="s">
        <v>162</v>
      </c>
      <c r="Q93" t="s">
        <v>204</v>
      </c>
      <c r="R93" t="s">
        <v>258</v>
      </c>
      <c r="S93" t="s">
        <v>101</v>
      </c>
    </row>
    <row r="94" spans="1:19" x14ac:dyDescent="0.3">
      <c r="A94" t="s">
        <v>152</v>
      </c>
      <c r="B94" t="s">
        <v>153</v>
      </c>
      <c r="C94" t="s">
        <v>237</v>
      </c>
      <c r="D94" t="s">
        <v>5</v>
      </c>
      <c r="E94" t="s">
        <v>103</v>
      </c>
      <c r="F94" t="s">
        <v>112</v>
      </c>
      <c r="G94" t="s">
        <v>247</v>
      </c>
      <c r="H94" t="s">
        <v>35</v>
      </c>
      <c r="I94">
        <v>8943</v>
      </c>
      <c r="J94">
        <v>9007.01</v>
      </c>
      <c r="K94">
        <v>24</v>
      </c>
      <c r="L94">
        <v>28</v>
      </c>
      <c r="M94">
        <v>45586</v>
      </c>
      <c r="N94">
        <v>45610</v>
      </c>
      <c r="O94">
        <v>45614</v>
      </c>
      <c r="P94" t="s">
        <v>127</v>
      </c>
      <c r="Q94" t="s">
        <v>202</v>
      </c>
      <c r="R94" t="s">
        <v>259</v>
      </c>
      <c r="S94" t="s">
        <v>101</v>
      </c>
    </row>
    <row r="95" spans="1:19" x14ac:dyDescent="0.3">
      <c r="A95" t="s">
        <v>36</v>
      </c>
      <c r="B95" t="s">
        <v>273</v>
      </c>
      <c r="C95" t="s">
        <v>266</v>
      </c>
      <c r="D95" t="s">
        <v>36</v>
      </c>
      <c r="E95" t="s">
        <v>133</v>
      </c>
      <c r="F95" t="s">
        <v>113</v>
      </c>
      <c r="G95" t="s">
        <v>12</v>
      </c>
      <c r="H95" t="s">
        <v>72</v>
      </c>
      <c r="I95">
        <v>15516</v>
      </c>
      <c r="J95" t="s">
        <v>12</v>
      </c>
      <c r="K95">
        <v>21</v>
      </c>
      <c r="L95">
        <v>6</v>
      </c>
      <c r="M95">
        <v>45589</v>
      </c>
      <c r="N95">
        <v>45610</v>
      </c>
      <c r="O95">
        <v>45595</v>
      </c>
      <c r="P95" t="s">
        <v>127</v>
      </c>
      <c r="Q95" t="s">
        <v>204</v>
      </c>
      <c r="R95" t="s">
        <v>258</v>
      </c>
      <c r="S95" t="s">
        <v>107</v>
      </c>
    </row>
    <row r="96" spans="1:19" x14ac:dyDescent="0.3">
      <c r="A96" t="s">
        <v>36</v>
      </c>
      <c r="B96" t="s">
        <v>273</v>
      </c>
      <c r="C96" t="s">
        <v>266</v>
      </c>
      <c r="D96" t="s">
        <v>36</v>
      </c>
      <c r="E96" t="s">
        <v>111</v>
      </c>
      <c r="F96" t="s">
        <v>113</v>
      </c>
      <c r="G96" t="s">
        <v>247</v>
      </c>
      <c r="H96" t="s">
        <v>35</v>
      </c>
      <c r="I96">
        <v>10045</v>
      </c>
      <c r="J96">
        <v>8879</v>
      </c>
      <c r="K96">
        <v>21</v>
      </c>
      <c r="L96">
        <v>0</v>
      </c>
      <c r="M96">
        <v>45591</v>
      </c>
      <c r="N96">
        <v>45612</v>
      </c>
      <c r="P96" t="s">
        <v>162</v>
      </c>
      <c r="Q96" t="s">
        <v>204</v>
      </c>
      <c r="R96" t="s">
        <v>258</v>
      </c>
      <c r="S96" t="s">
        <v>101</v>
      </c>
    </row>
    <row r="97" spans="1:19" x14ac:dyDescent="0.3">
      <c r="A97" t="s">
        <v>88</v>
      </c>
      <c r="B97" t="s">
        <v>154</v>
      </c>
      <c r="C97" t="s">
        <v>237</v>
      </c>
      <c r="D97" t="s">
        <v>5</v>
      </c>
      <c r="E97" t="s">
        <v>111</v>
      </c>
      <c r="F97" t="s">
        <v>113</v>
      </c>
      <c r="G97" t="s">
        <v>247</v>
      </c>
      <c r="H97" t="s">
        <v>197</v>
      </c>
      <c r="I97">
        <v>11649</v>
      </c>
      <c r="J97">
        <v>11749</v>
      </c>
      <c r="K97">
        <v>15</v>
      </c>
      <c r="L97">
        <v>23</v>
      </c>
      <c r="M97">
        <v>45591</v>
      </c>
      <c r="N97">
        <v>45606</v>
      </c>
      <c r="O97">
        <v>45614</v>
      </c>
      <c r="P97" t="s">
        <v>127</v>
      </c>
      <c r="Q97" t="s">
        <v>202</v>
      </c>
      <c r="R97" t="s">
        <v>259</v>
      </c>
      <c r="S97" t="s">
        <v>101</v>
      </c>
    </row>
    <row r="98" spans="1:19" x14ac:dyDescent="0.3">
      <c r="A98" t="s">
        <v>88</v>
      </c>
      <c r="B98" t="s">
        <v>154</v>
      </c>
      <c r="C98" t="s">
        <v>237</v>
      </c>
      <c r="D98" t="s">
        <v>5</v>
      </c>
      <c r="E98" t="s">
        <v>111</v>
      </c>
      <c r="F98" t="s">
        <v>113</v>
      </c>
      <c r="G98" t="s">
        <v>247</v>
      </c>
      <c r="H98" t="s">
        <v>197</v>
      </c>
      <c r="I98">
        <v>11649</v>
      </c>
      <c r="J98">
        <v>11749</v>
      </c>
      <c r="K98">
        <v>15</v>
      </c>
      <c r="L98">
        <v>23</v>
      </c>
      <c r="M98">
        <v>45591</v>
      </c>
      <c r="N98">
        <v>45606</v>
      </c>
      <c r="O98">
        <v>45614</v>
      </c>
      <c r="P98" t="s">
        <v>127</v>
      </c>
      <c r="Q98" t="s">
        <v>202</v>
      </c>
      <c r="R98" t="s">
        <v>259</v>
      </c>
      <c r="S98" t="s">
        <v>101</v>
      </c>
    </row>
    <row r="99" spans="1:19" x14ac:dyDescent="0.3">
      <c r="A99" t="s">
        <v>155</v>
      </c>
      <c r="B99" t="s">
        <v>75</v>
      </c>
      <c r="C99" t="s">
        <v>241</v>
      </c>
      <c r="D99" t="s">
        <v>5</v>
      </c>
      <c r="E99" t="s">
        <v>103</v>
      </c>
      <c r="F99" t="s">
        <v>112</v>
      </c>
      <c r="G99" t="s">
        <v>247</v>
      </c>
      <c r="H99" t="s">
        <v>197</v>
      </c>
      <c r="I99">
        <v>5100</v>
      </c>
      <c r="J99">
        <v>4800</v>
      </c>
      <c r="K99">
        <v>14</v>
      </c>
      <c r="L99">
        <v>24</v>
      </c>
      <c r="M99">
        <v>45593</v>
      </c>
      <c r="N99">
        <v>45607</v>
      </c>
      <c r="O99">
        <v>45617</v>
      </c>
      <c r="P99" t="s">
        <v>127</v>
      </c>
      <c r="Q99" t="s">
        <v>202</v>
      </c>
      <c r="R99" t="s">
        <v>259</v>
      </c>
      <c r="S99" t="s">
        <v>101</v>
      </c>
    </row>
    <row r="100" spans="1:19" x14ac:dyDescent="0.3">
      <c r="A100" t="s">
        <v>155</v>
      </c>
      <c r="B100" t="s">
        <v>75</v>
      </c>
      <c r="C100" t="s">
        <v>241</v>
      </c>
      <c r="D100" t="s">
        <v>5</v>
      </c>
      <c r="E100" t="s">
        <v>103</v>
      </c>
      <c r="F100" t="s">
        <v>112</v>
      </c>
      <c r="G100" t="s">
        <v>247</v>
      </c>
      <c r="H100" t="s">
        <v>197</v>
      </c>
      <c r="I100">
        <v>5300</v>
      </c>
      <c r="J100">
        <v>4800</v>
      </c>
      <c r="K100">
        <v>14</v>
      </c>
      <c r="L100">
        <v>24</v>
      </c>
      <c r="M100">
        <v>45593</v>
      </c>
      <c r="N100">
        <v>45607</v>
      </c>
      <c r="O100">
        <v>45617</v>
      </c>
      <c r="P100" t="s">
        <v>127</v>
      </c>
      <c r="Q100" t="s">
        <v>202</v>
      </c>
      <c r="R100" t="s">
        <v>259</v>
      </c>
      <c r="S100" t="s">
        <v>101</v>
      </c>
    </row>
    <row r="101" spans="1:19" x14ac:dyDescent="0.3">
      <c r="A101" t="s">
        <v>231</v>
      </c>
      <c r="B101" t="s">
        <v>157</v>
      </c>
      <c r="C101" t="s">
        <v>241</v>
      </c>
      <c r="D101" t="s">
        <v>5</v>
      </c>
      <c r="E101" t="s">
        <v>111</v>
      </c>
      <c r="F101" t="s">
        <v>112</v>
      </c>
      <c r="G101" t="s">
        <v>12</v>
      </c>
      <c r="H101" t="s">
        <v>197</v>
      </c>
      <c r="I101">
        <v>12099</v>
      </c>
      <c r="J101" t="s">
        <v>12</v>
      </c>
      <c r="K101">
        <v>15</v>
      </c>
      <c r="L101">
        <v>16</v>
      </c>
      <c r="M101">
        <v>45607</v>
      </c>
      <c r="N101">
        <v>45622</v>
      </c>
      <c r="O101">
        <v>45623</v>
      </c>
      <c r="P101" t="s">
        <v>127</v>
      </c>
      <c r="Q101" t="s">
        <v>202</v>
      </c>
      <c r="R101" t="s">
        <v>259</v>
      </c>
      <c r="S101" t="s">
        <v>101</v>
      </c>
    </row>
    <row r="102" spans="1:19" x14ac:dyDescent="0.3">
      <c r="A102" t="s">
        <v>36</v>
      </c>
      <c r="B102" t="s">
        <v>143</v>
      </c>
      <c r="C102" t="s">
        <v>265</v>
      </c>
      <c r="D102" t="s">
        <v>36</v>
      </c>
      <c r="E102" t="s">
        <v>133</v>
      </c>
      <c r="F102" t="s">
        <v>113</v>
      </c>
      <c r="G102" t="s">
        <v>12</v>
      </c>
      <c r="H102" t="s">
        <v>72</v>
      </c>
      <c r="I102">
        <v>15872</v>
      </c>
      <c r="J102" t="s">
        <v>12</v>
      </c>
      <c r="K102">
        <v>25</v>
      </c>
      <c r="L102">
        <v>6</v>
      </c>
      <c r="M102">
        <v>45604</v>
      </c>
      <c r="N102">
        <v>45629</v>
      </c>
      <c r="O102">
        <v>45610</v>
      </c>
      <c r="P102" t="s">
        <v>127</v>
      </c>
      <c r="Q102" t="s">
        <v>204</v>
      </c>
      <c r="R102" t="s">
        <v>258</v>
      </c>
      <c r="S102" t="s">
        <v>107</v>
      </c>
    </row>
    <row r="103" spans="1:19" x14ac:dyDescent="0.3">
      <c r="A103" t="s">
        <v>156</v>
      </c>
      <c r="B103" t="s">
        <v>24</v>
      </c>
      <c r="C103" t="s">
        <v>241</v>
      </c>
      <c r="D103" t="s">
        <v>264</v>
      </c>
      <c r="E103" t="s">
        <v>103</v>
      </c>
      <c r="F103" t="s">
        <v>112</v>
      </c>
      <c r="G103" t="s">
        <v>59</v>
      </c>
      <c r="H103" t="s">
        <v>197</v>
      </c>
      <c r="I103">
        <v>4520</v>
      </c>
      <c r="J103" t="s">
        <v>59</v>
      </c>
      <c r="K103">
        <v>12</v>
      </c>
      <c r="L103">
        <v>11</v>
      </c>
      <c r="M103">
        <v>45606</v>
      </c>
      <c r="N103">
        <v>45618</v>
      </c>
      <c r="O103">
        <v>45617</v>
      </c>
      <c r="P103" t="s">
        <v>127</v>
      </c>
      <c r="Q103" t="s">
        <v>202</v>
      </c>
      <c r="R103" t="s">
        <v>258</v>
      </c>
      <c r="S103" t="s">
        <v>101</v>
      </c>
    </row>
    <row r="104" spans="1:19" x14ac:dyDescent="0.3">
      <c r="A104" t="s">
        <v>57</v>
      </c>
      <c r="B104" t="s">
        <v>128</v>
      </c>
      <c r="C104" t="s">
        <v>242</v>
      </c>
      <c r="D104" t="s">
        <v>39</v>
      </c>
      <c r="E104" t="s">
        <v>111</v>
      </c>
      <c r="F104" t="s">
        <v>113</v>
      </c>
      <c r="G104" t="s">
        <v>59</v>
      </c>
      <c r="H104" t="s">
        <v>197</v>
      </c>
      <c r="I104">
        <v>5766</v>
      </c>
      <c r="J104" t="s">
        <v>59</v>
      </c>
      <c r="K104">
        <v>14</v>
      </c>
      <c r="L104">
        <v>13</v>
      </c>
      <c r="M104">
        <v>45608</v>
      </c>
      <c r="N104">
        <v>45622</v>
      </c>
      <c r="O104">
        <v>45621</v>
      </c>
      <c r="P104" t="s">
        <v>127</v>
      </c>
      <c r="Q104" t="s">
        <v>204</v>
      </c>
      <c r="R104" t="s">
        <v>258</v>
      </c>
      <c r="S104" t="s">
        <v>101</v>
      </c>
    </row>
    <row r="105" spans="1:19" x14ac:dyDescent="0.3">
      <c r="A105" t="s">
        <v>158</v>
      </c>
      <c r="B105" t="s">
        <v>75</v>
      </c>
      <c r="C105" t="s">
        <v>241</v>
      </c>
      <c r="D105" t="s">
        <v>5</v>
      </c>
      <c r="E105" t="s">
        <v>103</v>
      </c>
      <c r="F105" t="s">
        <v>117</v>
      </c>
      <c r="G105" t="s">
        <v>12</v>
      </c>
      <c r="H105" t="s">
        <v>197</v>
      </c>
      <c r="I105">
        <v>11395</v>
      </c>
      <c r="J105" t="s">
        <v>12</v>
      </c>
      <c r="K105">
        <v>12</v>
      </c>
      <c r="L105">
        <v>15</v>
      </c>
      <c r="M105">
        <v>45608</v>
      </c>
      <c r="N105">
        <v>45620</v>
      </c>
      <c r="O105">
        <v>45623</v>
      </c>
      <c r="P105" t="s">
        <v>127</v>
      </c>
      <c r="Q105" t="s">
        <v>202</v>
      </c>
      <c r="R105" t="s">
        <v>259</v>
      </c>
      <c r="S105" t="s">
        <v>101</v>
      </c>
    </row>
    <row r="106" spans="1:19" x14ac:dyDescent="0.3">
      <c r="A106" t="s">
        <v>159</v>
      </c>
      <c r="B106" t="s">
        <v>24</v>
      </c>
      <c r="C106" t="s">
        <v>241</v>
      </c>
      <c r="D106" t="s">
        <v>5</v>
      </c>
      <c r="E106" t="s">
        <v>111</v>
      </c>
      <c r="F106" t="s">
        <v>112</v>
      </c>
      <c r="G106" t="s">
        <v>12</v>
      </c>
      <c r="H106" t="s">
        <v>18</v>
      </c>
      <c r="I106">
        <v>12919</v>
      </c>
      <c r="J106" t="s">
        <v>12</v>
      </c>
      <c r="K106">
        <v>16</v>
      </c>
      <c r="L106">
        <v>13</v>
      </c>
      <c r="M106">
        <v>45610</v>
      </c>
      <c r="N106">
        <v>45626</v>
      </c>
      <c r="O106">
        <v>45623</v>
      </c>
      <c r="P106" t="s">
        <v>127</v>
      </c>
      <c r="Q106" t="s">
        <v>202</v>
      </c>
      <c r="R106" t="s">
        <v>258</v>
      </c>
      <c r="S106" t="s">
        <v>101</v>
      </c>
    </row>
    <row r="107" spans="1:19" x14ac:dyDescent="0.3">
      <c r="A107" t="s">
        <v>57</v>
      </c>
      <c r="B107" t="s">
        <v>128</v>
      </c>
      <c r="C107" t="s">
        <v>242</v>
      </c>
      <c r="D107" t="s">
        <v>39</v>
      </c>
      <c r="E107" t="s">
        <v>111</v>
      </c>
      <c r="F107" t="s">
        <v>116</v>
      </c>
      <c r="G107" t="s">
        <v>59</v>
      </c>
      <c r="H107" t="s">
        <v>18</v>
      </c>
      <c r="I107">
        <v>6376</v>
      </c>
      <c r="J107" t="s">
        <v>59</v>
      </c>
      <c r="K107">
        <v>13</v>
      </c>
      <c r="L107">
        <v>11</v>
      </c>
      <c r="M107">
        <v>45610</v>
      </c>
      <c r="N107">
        <v>45623</v>
      </c>
      <c r="O107">
        <v>45621</v>
      </c>
      <c r="P107" t="s">
        <v>127</v>
      </c>
      <c r="Q107" t="s">
        <v>204</v>
      </c>
      <c r="R107" t="s">
        <v>258</v>
      </c>
      <c r="S107" t="s">
        <v>101</v>
      </c>
    </row>
    <row r="108" spans="1:19" x14ac:dyDescent="0.3">
      <c r="A108" t="s">
        <v>57</v>
      </c>
      <c r="B108" t="s">
        <v>160</v>
      </c>
      <c r="C108" t="s">
        <v>265</v>
      </c>
      <c r="D108" t="s">
        <v>39</v>
      </c>
      <c r="E108" t="s">
        <v>161</v>
      </c>
      <c r="F108" t="s">
        <v>113</v>
      </c>
      <c r="G108" t="s">
        <v>59</v>
      </c>
      <c r="H108" t="s">
        <v>18</v>
      </c>
      <c r="I108">
        <v>5294</v>
      </c>
      <c r="J108" t="s">
        <v>59</v>
      </c>
      <c r="K108">
        <v>13</v>
      </c>
      <c r="L108">
        <v>11</v>
      </c>
      <c r="M108">
        <v>45610</v>
      </c>
      <c r="N108">
        <v>45623</v>
      </c>
      <c r="O108">
        <v>45621</v>
      </c>
      <c r="P108" t="s">
        <v>127</v>
      </c>
      <c r="Q108" t="s">
        <v>204</v>
      </c>
      <c r="R108" t="s">
        <v>258</v>
      </c>
      <c r="S108" t="s">
        <v>101</v>
      </c>
    </row>
    <row r="109" spans="1:19" x14ac:dyDescent="0.3">
      <c r="A109" t="s">
        <v>232</v>
      </c>
      <c r="B109" t="s">
        <v>25</v>
      </c>
      <c r="C109" t="s">
        <v>237</v>
      </c>
      <c r="D109" t="s">
        <v>163</v>
      </c>
      <c r="E109" t="s">
        <v>161</v>
      </c>
      <c r="F109" t="s">
        <v>112</v>
      </c>
      <c r="G109" t="s">
        <v>12</v>
      </c>
      <c r="H109" t="s">
        <v>18</v>
      </c>
      <c r="I109">
        <v>7396</v>
      </c>
      <c r="J109" t="s">
        <v>12</v>
      </c>
      <c r="K109">
        <v>11</v>
      </c>
      <c r="L109">
        <v>9</v>
      </c>
      <c r="M109">
        <v>45613</v>
      </c>
      <c r="N109">
        <v>45624</v>
      </c>
      <c r="O109">
        <v>45622</v>
      </c>
      <c r="P109" t="s">
        <v>127</v>
      </c>
      <c r="Q109" t="s">
        <v>202</v>
      </c>
      <c r="R109" t="s">
        <v>258</v>
      </c>
      <c r="S109" t="s">
        <v>101</v>
      </c>
    </row>
    <row r="110" spans="1:19" x14ac:dyDescent="0.3">
      <c r="A110" t="s">
        <v>88</v>
      </c>
      <c r="B110" t="s">
        <v>164</v>
      </c>
      <c r="C110" t="s">
        <v>237</v>
      </c>
      <c r="D110" t="s">
        <v>5</v>
      </c>
      <c r="E110" t="s">
        <v>111</v>
      </c>
      <c r="F110" t="s">
        <v>113</v>
      </c>
      <c r="G110" t="s">
        <v>247</v>
      </c>
      <c r="H110" t="s">
        <v>18</v>
      </c>
      <c r="I110">
        <v>13439</v>
      </c>
      <c r="J110">
        <v>13575</v>
      </c>
      <c r="K110">
        <v>15</v>
      </c>
      <c r="L110">
        <v>6</v>
      </c>
      <c r="M110">
        <v>45616</v>
      </c>
      <c r="N110">
        <v>45631</v>
      </c>
      <c r="O110">
        <v>45622</v>
      </c>
      <c r="P110" t="s">
        <v>127</v>
      </c>
      <c r="Q110" t="s">
        <v>202</v>
      </c>
      <c r="R110" t="s">
        <v>258</v>
      </c>
      <c r="S110" t="s">
        <v>101</v>
      </c>
    </row>
    <row r="111" spans="1:19" x14ac:dyDescent="0.3">
      <c r="A111" t="s">
        <v>28</v>
      </c>
      <c r="B111" t="s">
        <v>31</v>
      </c>
      <c r="C111" t="s">
        <v>241</v>
      </c>
      <c r="D111" t="s">
        <v>267</v>
      </c>
      <c r="E111" t="s">
        <v>165</v>
      </c>
      <c r="F111" t="s">
        <v>113</v>
      </c>
      <c r="G111" t="s">
        <v>59</v>
      </c>
      <c r="H111" t="s">
        <v>18</v>
      </c>
      <c r="I111">
        <v>5100</v>
      </c>
      <c r="J111" t="s">
        <v>59</v>
      </c>
      <c r="K111">
        <v>24</v>
      </c>
      <c r="L111">
        <v>0</v>
      </c>
      <c r="M111">
        <v>45610</v>
      </c>
      <c r="N111">
        <v>45634</v>
      </c>
      <c r="P111" t="s">
        <v>162</v>
      </c>
      <c r="Q111" t="s">
        <v>204</v>
      </c>
      <c r="R111" t="s">
        <v>258</v>
      </c>
      <c r="S111" t="s">
        <v>101</v>
      </c>
    </row>
    <row r="112" spans="1:19" x14ac:dyDescent="0.3">
      <c r="A112" t="s">
        <v>166</v>
      </c>
      <c r="B112" t="s">
        <v>33</v>
      </c>
      <c r="C112" t="s">
        <v>241</v>
      </c>
      <c r="D112" t="s">
        <v>167</v>
      </c>
      <c r="E112" t="s">
        <v>103</v>
      </c>
      <c r="F112" t="s">
        <v>118</v>
      </c>
      <c r="G112" t="s">
        <v>247</v>
      </c>
      <c r="I112">
        <v>6000</v>
      </c>
      <c r="J112">
        <v>5800</v>
      </c>
      <c r="K112">
        <v>10</v>
      </c>
      <c r="L112">
        <v>5</v>
      </c>
      <c r="M112">
        <v>45618</v>
      </c>
      <c r="N112">
        <v>45628</v>
      </c>
      <c r="O112">
        <v>45623</v>
      </c>
      <c r="P112" t="s">
        <v>127</v>
      </c>
      <c r="Q112" t="s">
        <v>202</v>
      </c>
      <c r="R112" t="s">
        <v>258</v>
      </c>
      <c r="S112" t="s">
        <v>101</v>
      </c>
    </row>
    <row r="113" spans="1:19" x14ac:dyDescent="0.3">
      <c r="A113" t="s">
        <v>233</v>
      </c>
      <c r="B113" t="s">
        <v>168</v>
      </c>
      <c r="C113" t="s">
        <v>241</v>
      </c>
      <c r="D113" t="s">
        <v>5</v>
      </c>
      <c r="E113" t="s">
        <v>165</v>
      </c>
      <c r="F113" t="s">
        <v>116</v>
      </c>
      <c r="G113" t="s">
        <v>247</v>
      </c>
      <c r="I113">
        <v>10885</v>
      </c>
      <c r="J113">
        <v>7965</v>
      </c>
      <c r="K113">
        <v>11</v>
      </c>
      <c r="L113">
        <v>16</v>
      </c>
      <c r="M113">
        <v>45620</v>
      </c>
      <c r="N113">
        <v>45631</v>
      </c>
      <c r="O113">
        <v>45636</v>
      </c>
      <c r="P113" t="s">
        <v>127</v>
      </c>
      <c r="Q113" t="s">
        <v>202</v>
      </c>
      <c r="R113" t="s">
        <v>259</v>
      </c>
      <c r="S113" t="s">
        <v>101</v>
      </c>
    </row>
    <row r="114" spans="1:19" x14ac:dyDescent="0.3">
      <c r="A114" t="s">
        <v>28</v>
      </c>
      <c r="B114" t="s">
        <v>31</v>
      </c>
      <c r="C114" t="s">
        <v>241</v>
      </c>
      <c r="D114" t="s">
        <v>267</v>
      </c>
      <c r="E114" t="s">
        <v>169</v>
      </c>
      <c r="F114" t="s">
        <v>114</v>
      </c>
      <c r="G114" t="s">
        <v>247</v>
      </c>
      <c r="I114">
        <v>6000</v>
      </c>
      <c r="J114">
        <v>6000</v>
      </c>
      <c r="K114">
        <v>16</v>
      </c>
      <c r="L114">
        <v>1</v>
      </c>
      <c r="M114">
        <v>45615</v>
      </c>
      <c r="N114">
        <v>45631</v>
      </c>
      <c r="O114">
        <v>45616</v>
      </c>
      <c r="P114" t="s">
        <v>127</v>
      </c>
      <c r="Q114" t="s">
        <v>204</v>
      </c>
      <c r="R114" t="s">
        <v>258</v>
      </c>
      <c r="S114" t="s">
        <v>107</v>
      </c>
    </row>
    <row r="115" spans="1:19" x14ac:dyDescent="0.3">
      <c r="A115" t="s">
        <v>170</v>
      </c>
      <c r="B115" t="s">
        <v>171</v>
      </c>
      <c r="C115" t="s">
        <v>238</v>
      </c>
      <c r="D115" t="s">
        <v>5</v>
      </c>
      <c r="F115" t="s">
        <v>114</v>
      </c>
      <c r="G115" t="s">
        <v>12</v>
      </c>
      <c r="I115">
        <v>8449</v>
      </c>
      <c r="J115" t="s">
        <v>12</v>
      </c>
      <c r="K115">
        <v>13</v>
      </c>
      <c r="L115">
        <v>26</v>
      </c>
      <c r="M115">
        <v>45623</v>
      </c>
      <c r="N115">
        <v>45636</v>
      </c>
      <c r="O115">
        <v>45649</v>
      </c>
      <c r="P115" t="s">
        <v>127</v>
      </c>
      <c r="Q115" t="s">
        <v>202</v>
      </c>
      <c r="R115" t="s">
        <v>259</v>
      </c>
      <c r="S115" t="s">
        <v>172</v>
      </c>
    </row>
    <row r="116" spans="1:19" x14ac:dyDescent="0.3">
      <c r="A116" t="s">
        <v>173</v>
      </c>
      <c r="B116" t="s">
        <v>41</v>
      </c>
      <c r="C116" t="s">
        <v>241</v>
      </c>
      <c r="D116" t="s">
        <v>5</v>
      </c>
      <c r="E116" t="s">
        <v>174</v>
      </c>
      <c r="F116" t="s">
        <v>112</v>
      </c>
      <c r="G116" t="s">
        <v>247</v>
      </c>
      <c r="I116">
        <v>10249</v>
      </c>
      <c r="J116">
        <v>6211</v>
      </c>
      <c r="K116">
        <v>13</v>
      </c>
      <c r="L116">
        <v>22</v>
      </c>
      <c r="M116">
        <v>45623</v>
      </c>
      <c r="N116">
        <v>45636</v>
      </c>
      <c r="O116">
        <v>45645</v>
      </c>
      <c r="P116" t="s">
        <v>127</v>
      </c>
      <c r="Q116" t="s">
        <v>202</v>
      </c>
      <c r="R116" t="s">
        <v>259</v>
      </c>
      <c r="S116" t="s">
        <v>172</v>
      </c>
    </row>
    <row r="117" spans="1:19" x14ac:dyDescent="0.3">
      <c r="A117" t="s">
        <v>175</v>
      </c>
      <c r="B117" t="s">
        <v>176</v>
      </c>
      <c r="C117" t="s">
        <v>238</v>
      </c>
      <c r="D117" t="s">
        <v>5</v>
      </c>
      <c r="E117" t="s">
        <v>111</v>
      </c>
      <c r="F117" t="s">
        <v>113</v>
      </c>
      <c r="G117" t="s">
        <v>12</v>
      </c>
      <c r="I117">
        <v>14905</v>
      </c>
      <c r="J117" t="s">
        <v>12</v>
      </c>
      <c r="K117">
        <v>16</v>
      </c>
      <c r="L117">
        <v>0</v>
      </c>
      <c r="M117">
        <v>45625</v>
      </c>
      <c r="N117">
        <v>45641</v>
      </c>
      <c r="P117" t="s">
        <v>162</v>
      </c>
      <c r="Q117" t="s">
        <v>202</v>
      </c>
      <c r="R117" t="s">
        <v>258</v>
      </c>
      <c r="S117" t="s">
        <v>101</v>
      </c>
    </row>
    <row r="118" spans="1:19" x14ac:dyDescent="0.3">
      <c r="A118" t="s">
        <v>177</v>
      </c>
      <c r="B118" t="s">
        <v>47</v>
      </c>
      <c r="C118" t="s">
        <v>241</v>
      </c>
      <c r="D118" t="s">
        <v>5</v>
      </c>
      <c r="E118" t="s">
        <v>174</v>
      </c>
      <c r="F118" t="s">
        <v>113</v>
      </c>
      <c r="G118" t="s">
        <v>12</v>
      </c>
      <c r="I118">
        <v>10249</v>
      </c>
      <c r="J118" t="s">
        <v>12</v>
      </c>
      <c r="K118">
        <v>12</v>
      </c>
      <c r="L118">
        <v>0</v>
      </c>
      <c r="M118">
        <v>45626</v>
      </c>
      <c r="N118">
        <v>45638</v>
      </c>
      <c r="P118" t="s">
        <v>162</v>
      </c>
      <c r="Q118" t="s">
        <v>202</v>
      </c>
      <c r="R118" t="s">
        <v>258</v>
      </c>
      <c r="S118" t="s">
        <v>172</v>
      </c>
    </row>
    <row r="119" spans="1:19" x14ac:dyDescent="0.3">
      <c r="A119" t="s">
        <v>177</v>
      </c>
      <c r="B119" t="s">
        <v>47</v>
      </c>
      <c r="C119" t="s">
        <v>241</v>
      </c>
      <c r="D119" t="s">
        <v>5</v>
      </c>
      <c r="E119" t="s">
        <v>124</v>
      </c>
      <c r="F119" t="s">
        <v>113</v>
      </c>
      <c r="G119" t="s">
        <v>12</v>
      </c>
      <c r="I119">
        <v>9029</v>
      </c>
      <c r="J119" t="s">
        <v>12</v>
      </c>
      <c r="K119">
        <v>12</v>
      </c>
      <c r="L119">
        <v>0</v>
      </c>
      <c r="M119">
        <v>45626</v>
      </c>
      <c r="N119">
        <v>45638</v>
      </c>
      <c r="P119" t="s">
        <v>162</v>
      </c>
      <c r="Q119" t="s">
        <v>202</v>
      </c>
      <c r="R119" t="s">
        <v>258</v>
      </c>
      <c r="S119" t="s">
        <v>172</v>
      </c>
    </row>
    <row r="120" spans="1:19" x14ac:dyDescent="0.3">
      <c r="A120" t="s">
        <v>178</v>
      </c>
      <c r="B120" t="s">
        <v>96</v>
      </c>
      <c r="C120" t="s">
        <v>137</v>
      </c>
      <c r="D120" t="s">
        <v>5</v>
      </c>
      <c r="E120" t="s">
        <v>179</v>
      </c>
      <c r="F120" t="s">
        <v>113</v>
      </c>
      <c r="G120" t="s">
        <v>12</v>
      </c>
      <c r="I120">
        <v>9029</v>
      </c>
      <c r="J120" t="s">
        <v>12</v>
      </c>
      <c r="K120">
        <v>12</v>
      </c>
      <c r="L120">
        <v>0</v>
      </c>
      <c r="M120">
        <v>45626</v>
      </c>
      <c r="N120">
        <v>45638</v>
      </c>
      <c r="P120" t="s">
        <v>162</v>
      </c>
      <c r="Q120" t="s">
        <v>202</v>
      </c>
      <c r="R120" t="s">
        <v>258</v>
      </c>
      <c r="S120" t="s">
        <v>172</v>
      </c>
    </row>
    <row r="121" spans="1:19" x14ac:dyDescent="0.3">
      <c r="A121" t="s">
        <v>180</v>
      </c>
      <c r="B121" t="s">
        <v>181</v>
      </c>
      <c r="C121" t="s">
        <v>241</v>
      </c>
      <c r="D121" t="s">
        <v>5</v>
      </c>
      <c r="E121" t="s">
        <v>161</v>
      </c>
      <c r="F121" t="s">
        <v>112</v>
      </c>
      <c r="G121" t="s">
        <v>12</v>
      </c>
      <c r="I121">
        <v>12099</v>
      </c>
      <c r="J121" t="s">
        <v>12</v>
      </c>
      <c r="K121">
        <v>15</v>
      </c>
      <c r="L121">
        <v>0</v>
      </c>
      <c r="M121">
        <v>45628</v>
      </c>
      <c r="N121">
        <v>45643</v>
      </c>
      <c r="P121" t="s">
        <v>162</v>
      </c>
      <c r="Q121" t="s">
        <v>202</v>
      </c>
      <c r="R121" t="s">
        <v>258</v>
      </c>
      <c r="S121" t="s">
        <v>101</v>
      </c>
    </row>
    <row r="122" spans="1:19" x14ac:dyDescent="0.3">
      <c r="A122" t="s">
        <v>57</v>
      </c>
      <c r="B122" t="s">
        <v>128</v>
      </c>
      <c r="C122" t="s">
        <v>242</v>
      </c>
      <c r="D122" t="s">
        <v>39</v>
      </c>
      <c r="E122" t="s">
        <v>161</v>
      </c>
      <c r="F122" t="s">
        <v>114</v>
      </c>
      <c r="G122" t="s">
        <v>59</v>
      </c>
      <c r="I122">
        <v>5217</v>
      </c>
      <c r="J122" t="s">
        <v>59</v>
      </c>
      <c r="K122">
        <v>13</v>
      </c>
      <c r="L122">
        <v>9</v>
      </c>
      <c r="M122">
        <v>45627</v>
      </c>
      <c r="N122">
        <v>45640</v>
      </c>
      <c r="O122">
        <v>45636</v>
      </c>
      <c r="P122" t="s">
        <v>127</v>
      </c>
      <c r="Q122" t="s">
        <v>204</v>
      </c>
      <c r="R122" t="s">
        <v>258</v>
      </c>
      <c r="S122" t="s">
        <v>101</v>
      </c>
    </row>
    <row r="123" spans="1:19" x14ac:dyDescent="0.3">
      <c r="A123" t="s">
        <v>234</v>
      </c>
      <c r="B123" t="s">
        <v>91</v>
      </c>
      <c r="C123" t="s">
        <v>241</v>
      </c>
      <c r="D123" t="s">
        <v>5</v>
      </c>
      <c r="E123" t="s">
        <v>102</v>
      </c>
      <c r="F123" t="s">
        <v>113</v>
      </c>
      <c r="G123" t="s">
        <v>247</v>
      </c>
      <c r="I123">
        <v>10249</v>
      </c>
      <c r="J123">
        <v>6211</v>
      </c>
      <c r="K123">
        <v>10</v>
      </c>
      <c r="L123">
        <v>15</v>
      </c>
      <c r="M123">
        <v>45630</v>
      </c>
      <c r="N123">
        <v>45640</v>
      </c>
      <c r="O123">
        <v>45645</v>
      </c>
      <c r="P123" t="s">
        <v>127</v>
      </c>
      <c r="Q123" t="s">
        <v>202</v>
      </c>
      <c r="R123" t="s">
        <v>259</v>
      </c>
      <c r="S123" t="s">
        <v>101</v>
      </c>
    </row>
    <row r="124" spans="1:19" x14ac:dyDescent="0.3">
      <c r="A124" t="s">
        <v>182</v>
      </c>
      <c r="B124" t="s">
        <v>183</v>
      </c>
      <c r="C124" t="s">
        <v>241</v>
      </c>
      <c r="D124" t="s">
        <v>36</v>
      </c>
      <c r="E124" t="s">
        <v>111</v>
      </c>
      <c r="F124" t="s">
        <v>113</v>
      </c>
      <c r="G124" t="s">
        <v>247</v>
      </c>
      <c r="I124">
        <v>10445</v>
      </c>
      <c r="J124">
        <v>7707</v>
      </c>
      <c r="K124">
        <v>22</v>
      </c>
      <c r="L124">
        <v>3</v>
      </c>
      <c r="M124">
        <v>45635</v>
      </c>
      <c r="N124">
        <v>45657</v>
      </c>
      <c r="O124">
        <v>45638</v>
      </c>
      <c r="P124" t="s">
        <v>127</v>
      </c>
      <c r="Q124" t="s">
        <v>202</v>
      </c>
      <c r="R124" t="s">
        <v>258</v>
      </c>
      <c r="S124" t="s">
        <v>101</v>
      </c>
    </row>
    <row r="125" spans="1:19" x14ac:dyDescent="0.3">
      <c r="A125" t="s">
        <v>235</v>
      </c>
      <c r="B125" t="s">
        <v>47</v>
      </c>
      <c r="C125" t="s">
        <v>241</v>
      </c>
      <c r="D125" t="s">
        <v>5</v>
      </c>
      <c r="E125" t="s">
        <v>184</v>
      </c>
      <c r="F125" t="s">
        <v>113</v>
      </c>
      <c r="G125" t="s">
        <v>247</v>
      </c>
      <c r="I125">
        <v>11199</v>
      </c>
      <c r="J125">
        <v>11257</v>
      </c>
      <c r="K125">
        <v>12</v>
      </c>
      <c r="L125">
        <v>7</v>
      </c>
      <c r="M125">
        <v>45638</v>
      </c>
      <c r="N125">
        <v>45650</v>
      </c>
      <c r="O125">
        <v>45645</v>
      </c>
      <c r="P125" t="s">
        <v>127</v>
      </c>
      <c r="Q125" t="s">
        <v>202</v>
      </c>
      <c r="R125" t="s">
        <v>258</v>
      </c>
      <c r="S125" t="s">
        <v>172</v>
      </c>
    </row>
    <row r="126" spans="1:19" x14ac:dyDescent="0.3">
      <c r="A126" t="s">
        <v>185</v>
      </c>
      <c r="B126" t="s">
        <v>164</v>
      </c>
      <c r="C126" t="s">
        <v>237</v>
      </c>
      <c r="D126" t="s">
        <v>5</v>
      </c>
      <c r="E126" t="s">
        <v>111</v>
      </c>
      <c r="F126" t="s">
        <v>113</v>
      </c>
      <c r="G126" t="s">
        <v>247</v>
      </c>
      <c r="I126">
        <v>13099</v>
      </c>
      <c r="J126">
        <v>13231</v>
      </c>
      <c r="K126">
        <v>16</v>
      </c>
      <c r="L126">
        <v>17</v>
      </c>
      <c r="M126">
        <v>45638</v>
      </c>
      <c r="N126">
        <v>45654</v>
      </c>
      <c r="O126">
        <v>45655</v>
      </c>
      <c r="P126" t="s">
        <v>127</v>
      </c>
      <c r="Q126" t="s">
        <v>202</v>
      </c>
      <c r="R126" t="s">
        <v>259</v>
      </c>
      <c r="S126" t="s">
        <v>101</v>
      </c>
    </row>
    <row r="127" spans="1:19" x14ac:dyDescent="0.3">
      <c r="A127" t="s">
        <v>36</v>
      </c>
      <c r="B127" t="s">
        <v>143</v>
      </c>
      <c r="C127" t="s">
        <v>265</v>
      </c>
      <c r="D127" t="s">
        <v>36</v>
      </c>
      <c r="E127" t="s">
        <v>133</v>
      </c>
      <c r="F127" t="s">
        <v>113</v>
      </c>
      <c r="G127" t="s">
        <v>59</v>
      </c>
      <c r="I127">
        <v>8700</v>
      </c>
      <c r="J127" t="s">
        <v>59</v>
      </c>
      <c r="K127">
        <v>22</v>
      </c>
      <c r="L127">
        <v>15</v>
      </c>
      <c r="M127">
        <v>45640</v>
      </c>
      <c r="N127">
        <v>45662</v>
      </c>
      <c r="O127">
        <v>45655</v>
      </c>
      <c r="P127" t="s">
        <v>127</v>
      </c>
      <c r="Q127" t="s">
        <v>204</v>
      </c>
      <c r="R127" t="s">
        <v>258</v>
      </c>
      <c r="S127" t="s">
        <v>107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2783E-2415-468E-AFE1-804956FEF451}">
  <dimension ref="A1:AH43"/>
  <sheetViews>
    <sheetView showGridLines="0" rightToLeft="1" workbookViewId="0">
      <selection activeCell="M2" sqref="M2"/>
    </sheetView>
  </sheetViews>
  <sheetFormatPr defaultRowHeight="14.4" x14ac:dyDescent="0.3"/>
  <cols>
    <col min="1" max="16384" width="8.88671875" style="1"/>
  </cols>
  <sheetData>
    <row r="1" spans="1:34" x14ac:dyDescent="0.3">
      <c r="B1" s="23"/>
      <c r="C1" s="23"/>
      <c r="D1" s="24" t="s">
        <v>274</v>
      </c>
      <c r="E1" s="24"/>
      <c r="F1" s="24"/>
      <c r="G1" s="24"/>
      <c r="H1" s="24"/>
      <c r="X1" s="27" t="s">
        <v>276</v>
      </c>
      <c r="Y1" s="26"/>
      <c r="Z1" s="26"/>
      <c r="AA1" s="26"/>
      <c r="AB1" s="26"/>
    </row>
    <row r="2" spans="1:34" x14ac:dyDescent="0.3">
      <c r="B2" s="23"/>
      <c r="C2" s="23"/>
      <c r="D2" s="24"/>
      <c r="E2" s="24"/>
      <c r="F2" s="24"/>
      <c r="G2" s="24"/>
      <c r="H2" s="24"/>
      <c r="X2" s="26"/>
      <c r="Y2" s="26"/>
      <c r="Z2" s="26"/>
      <c r="AA2" s="26"/>
      <c r="AB2" s="26"/>
    </row>
    <row r="3" spans="1:34" ht="14.4" customHeight="1" x14ac:dyDescent="0.3">
      <c r="A3" s="25" t="s">
        <v>275</v>
      </c>
      <c r="B3" s="25"/>
      <c r="C3" s="25"/>
      <c r="D3" s="25"/>
      <c r="E3" s="25"/>
      <c r="F3" s="25"/>
      <c r="G3" s="25"/>
      <c r="H3" s="25"/>
      <c r="I3" s="25"/>
      <c r="J3" s="25"/>
      <c r="K3" s="25"/>
      <c r="L3" s="25"/>
      <c r="M3" s="25"/>
      <c r="N3" s="25"/>
      <c r="O3" s="25"/>
      <c r="P3" s="25"/>
      <c r="Q3" s="25"/>
      <c r="R3" s="25"/>
      <c r="S3" s="25" t="s">
        <v>277</v>
      </c>
      <c r="T3" s="28"/>
      <c r="U3" s="28"/>
      <c r="V3" s="28"/>
      <c r="W3" s="28"/>
      <c r="X3" s="28"/>
      <c r="Y3" s="28"/>
      <c r="Z3" s="28"/>
      <c r="AA3" s="28"/>
      <c r="AB3" s="28"/>
      <c r="AC3" s="28"/>
      <c r="AD3" s="28"/>
      <c r="AE3" s="28"/>
      <c r="AF3" s="28"/>
      <c r="AG3" s="28"/>
      <c r="AH3" s="28"/>
    </row>
    <row r="4" spans="1:34" x14ac:dyDescent="0.3">
      <c r="A4" s="25"/>
      <c r="B4" s="25"/>
      <c r="C4" s="25"/>
      <c r="D4" s="25"/>
      <c r="E4" s="25"/>
      <c r="F4" s="25"/>
      <c r="G4" s="25"/>
      <c r="H4" s="25"/>
      <c r="I4" s="25"/>
      <c r="J4" s="25"/>
      <c r="K4" s="25"/>
      <c r="L4" s="25"/>
      <c r="M4" s="25"/>
      <c r="N4" s="25"/>
      <c r="O4" s="25"/>
      <c r="P4" s="25"/>
      <c r="Q4" s="25"/>
      <c r="R4" s="25"/>
      <c r="S4" s="28"/>
      <c r="T4" s="28"/>
      <c r="U4" s="28"/>
      <c r="V4" s="28"/>
      <c r="W4" s="28"/>
      <c r="X4" s="28"/>
      <c r="Y4" s="28"/>
      <c r="Z4" s="28"/>
      <c r="AA4" s="28"/>
      <c r="AB4" s="28"/>
      <c r="AC4" s="28"/>
      <c r="AD4" s="28"/>
      <c r="AE4" s="28"/>
      <c r="AF4" s="28"/>
      <c r="AG4" s="28"/>
      <c r="AH4" s="28"/>
    </row>
    <row r="5" spans="1:34" x14ac:dyDescent="0.3">
      <c r="A5" s="25"/>
      <c r="B5" s="25"/>
      <c r="C5" s="25"/>
      <c r="D5" s="25"/>
      <c r="E5" s="25"/>
      <c r="F5" s="25"/>
      <c r="G5" s="25"/>
      <c r="H5" s="25"/>
      <c r="I5" s="25"/>
      <c r="J5" s="25"/>
      <c r="K5" s="25"/>
      <c r="L5" s="25"/>
      <c r="M5" s="25"/>
      <c r="N5" s="25"/>
      <c r="O5" s="25"/>
      <c r="P5" s="25"/>
      <c r="Q5" s="25"/>
      <c r="R5" s="25"/>
      <c r="S5" s="28"/>
      <c r="T5" s="28"/>
      <c r="U5" s="28"/>
      <c r="V5" s="28"/>
      <c r="W5" s="28"/>
      <c r="X5" s="28"/>
      <c r="Y5" s="28"/>
      <c r="Z5" s="28"/>
      <c r="AA5" s="28"/>
      <c r="AB5" s="28"/>
      <c r="AC5" s="28"/>
      <c r="AD5" s="28"/>
      <c r="AE5" s="28"/>
      <c r="AF5" s="28"/>
      <c r="AG5" s="28"/>
      <c r="AH5" s="28"/>
    </row>
    <row r="6" spans="1:34" x14ac:dyDescent="0.3">
      <c r="A6" s="25"/>
      <c r="B6" s="25"/>
      <c r="C6" s="25"/>
      <c r="D6" s="25"/>
      <c r="E6" s="25"/>
      <c r="F6" s="25"/>
      <c r="G6" s="25"/>
      <c r="H6" s="25"/>
      <c r="I6" s="25"/>
      <c r="J6" s="25"/>
      <c r="K6" s="25"/>
      <c r="L6" s="25"/>
      <c r="M6" s="25"/>
      <c r="N6" s="25"/>
      <c r="O6" s="25"/>
      <c r="P6" s="25"/>
      <c r="Q6" s="25"/>
      <c r="R6" s="25"/>
      <c r="S6" s="28"/>
      <c r="T6" s="28"/>
      <c r="U6" s="28"/>
      <c r="V6" s="28"/>
      <c r="W6" s="28"/>
      <c r="X6" s="28"/>
      <c r="Y6" s="28"/>
      <c r="Z6" s="28"/>
      <c r="AA6" s="28"/>
      <c r="AB6" s="28"/>
      <c r="AC6" s="28"/>
      <c r="AD6" s="28"/>
      <c r="AE6" s="28"/>
      <c r="AF6" s="28"/>
      <c r="AG6" s="28"/>
      <c r="AH6" s="28"/>
    </row>
    <row r="7" spans="1:34" x14ac:dyDescent="0.3">
      <c r="A7" s="25"/>
      <c r="B7" s="25"/>
      <c r="C7" s="25"/>
      <c r="D7" s="25"/>
      <c r="E7" s="25"/>
      <c r="F7" s="25"/>
      <c r="G7" s="25"/>
      <c r="H7" s="25"/>
      <c r="I7" s="25"/>
      <c r="J7" s="25"/>
      <c r="K7" s="25"/>
      <c r="L7" s="25"/>
      <c r="M7" s="25"/>
      <c r="N7" s="25"/>
      <c r="O7" s="25"/>
      <c r="P7" s="25"/>
      <c r="Q7" s="25"/>
      <c r="R7" s="25"/>
      <c r="S7" s="28"/>
      <c r="T7" s="28"/>
      <c r="U7" s="28"/>
      <c r="V7" s="28"/>
      <c r="W7" s="28"/>
      <c r="X7" s="28"/>
      <c r="Y7" s="28"/>
      <c r="Z7" s="28"/>
      <c r="AA7" s="28"/>
      <c r="AB7" s="28"/>
      <c r="AC7" s="28"/>
      <c r="AD7" s="28"/>
      <c r="AE7" s="28"/>
      <c r="AF7" s="28"/>
      <c r="AG7" s="28"/>
      <c r="AH7" s="28"/>
    </row>
    <row r="8" spans="1:34" x14ac:dyDescent="0.3">
      <c r="A8" s="25"/>
      <c r="B8" s="25"/>
      <c r="C8" s="25"/>
      <c r="D8" s="25"/>
      <c r="E8" s="25"/>
      <c r="F8" s="25"/>
      <c r="G8" s="25"/>
      <c r="H8" s="25"/>
      <c r="I8" s="25"/>
      <c r="J8" s="25"/>
      <c r="K8" s="25"/>
      <c r="L8" s="25"/>
      <c r="M8" s="25"/>
      <c r="N8" s="25"/>
      <c r="O8" s="25"/>
      <c r="P8" s="25"/>
      <c r="Q8" s="25"/>
      <c r="R8" s="25"/>
      <c r="S8" s="28"/>
      <c r="T8" s="28"/>
      <c r="U8" s="28"/>
      <c r="V8" s="28"/>
      <c r="W8" s="28"/>
      <c r="X8" s="28"/>
      <c r="Y8" s="28"/>
      <c r="Z8" s="28"/>
      <c r="AA8" s="28"/>
      <c r="AB8" s="28"/>
      <c r="AC8" s="28"/>
      <c r="AD8" s="28"/>
      <c r="AE8" s="28"/>
      <c r="AF8" s="28"/>
      <c r="AG8" s="28"/>
      <c r="AH8" s="28"/>
    </row>
    <row r="9" spans="1:34" x14ac:dyDescent="0.3">
      <c r="A9" s="25"/>
      <c r="B9" s="25"/>
      <c r="C9" s="25"/>
      <c r="D9" s="25"/>
      <c r="E9" s="25"/>
      <c r="F9" s="25"/>
      <c r="G9" s="25"/>
      <c r="H9" s="25"/>
      <c r="I9" s="25"/>
      <c r="J9" s="25"/>
      <c r="K9" s="25"/>
      <c r="L9" s="25"/>
      <c r="M9" s="25"/>
      <c r="N9" s="25"/>
      <c r="O9" s="25"/>
      <c r="P9" s="25"/>
      <c r="Q9" s="25"/>
      <c r="R9" s="25"/>
      <c r="S9" s="28"/>
      <c r="T9" s="28"/>
      <c r="U9" s="28"/>
      <c r="V9" s="28"/>
      <c r="W9" s="28"/>
      <c r="X9" s="28"/>
      <c r="Y9" s="28"/>
      <c r="Z9" s="28"/>
      <c r="AA9" s="28"/>
      <c r="AB9" s="28"/>
      <c r="AC9" s="28"/>
      <c r="AD9" s="28"/>
      <c r="AE9" s="28"/>
      <c r="AF9" s="28"/>
      <c r="AG9" s="28"/>
      <c r="AH9" s="28"/>
    </row>
    <row r="10" spans="1:34" x14ac:dyDescent="0.3">
      <c r="A10" s="25"/>
      <c r="B10" s="25"/>
      <c r="C10" s="25"/>
      <c r="D10" s="25"/>
      <c r="E10" s="25"/>
      <c r="F10" s="25"/>
      <c r="G10" s="25"/>
      <c r="H10" s="25"/>
      <c r="I10" s="25"/>
      <c r="J10" s="25"/>
      <c r="K10" s="25"/>
      <c r="L10" s="25"/>
      <c r="M10" s="25"/>
      <c r="N10" s="25"/>
      <c r="O10" s="25"/>
      <c r="P10" s="25"/>
      <c r="Q10" s="25"/>
      <c r="R10" s="25"/>
      <c r="S10" s="28"/>
      <c r="T10" s="28"/>
      <c r="U10" s="28"/>
      <c r="V10" s="28"/>
      <c r="W10" s="28"/>
      <c r="X10" s="28"/>
      <c r="Y10" s="28"/>
      <c r="Z10" s="28"/>
      <c r="AA10" s="28"/>
      <c r="AB10" s="28"/>
      <c r="AC10" s="28"/>
      <c r="AD10" s="28"/>
      <c r="AE10" s="28"/>
      <c r="AF10" s="28"/>
      <c r="AG10" s="28"/>
      <c r="AH10" s="28"/>
    </row>
    <row r="11" spans="1:34" x14ac:dyDescent="0.3">
      <c r="A11" s="25"/>
      <c r="B11" s="25"/>
      <c r="C11" s="25"/>
      <c r="D11" s="25"/>
      <c r="E11" s="25"/>
      <c r="F11" s="25"/>
      <c r="G11" s="25"/>
      <c r="H11" s="25"/>
      <c r="I11" s="25"/>
      <c r="J11" s="25"/>
      <c r="K11" s="25"/>
      <c r="L11" s="25"/>
      <c r="M11" s="25"/>
      <c r="N11" s="25"/>
      <c r="O11" s="25"/>
      <c r="P11" s="25"/>
      <c r="Q11" s="25"/>
      <c r="R11" s="25"/>
      <c r="S11" s="28"/>
      <c r="T11" s="28"/>
      <c r="U11" s="28"/>
      <c r="V11" s="28"/>
      <c r="W11" s="28"/>
      <c r="X11" s="28"/>
      <c r="Y11" s="28"/>
      <c r="Z11" s="28"/>
      <c r="AA11" s="28"/>
      <c r="AB11" s="28"/>
      <c r="AC11" s="28"/>
      <c r="AD11" s="28"/>
      <c r="AE11" s="28"/>
      <c r="AF11" s="28"/>
      <c r="AG11" s="28"/>
      <c r="AH11" s="28"/>
    </row>
    <row r="12" spans="1:34" x14ac:dyDescent="0.3">
      <c r="A12" s="25"/>
      <c r="B12" s="25"/>
      <c r="C12" s="25"/>
      <c r="D12" s="25"/>
      <c r="E12" s="25"/>
      <c r="F12" s="25"/>
      <c r="G12" s="25"/>
      <c r="H12" s="25"/>
      <c r="I12" s="25"/>
      <c r="J12" s="25"/>
      <c r="K12" s="25"/>
      <c r="L12" s="25"/>
      <c r="M12" s="25"/>
      <c r="N12" s="25"/>
      <c r="O12" s="25"/>
      <c r="P12" s="25"/>
      <c r="Q12" s="25"/>
      <c r="R12" s="25"/>
      <c r="S12" s="28"/>
      <c r="T12" s="28"/>
      <c r="U12" s="28"/>
      <c r="V12" s="28"/>
      <c r="W12" s="28"/>
      <c r="X12" s="28"/>
      <c r="Y12" s="28"/>
      <c r="Z12" s="28"/>
      <c r="AA12" s="28"/>
      <c r="AB12" s="28"/>
      <c r="AC12" s="28"/>
      <c r="AD12" s="28"/>
      <c r="AE12" s="28"/>
      <c r="AF12" s="28"/>
      <c r="AG12" s="28"/>
      <c r="AH12" s="28"/>
    </row>
    <row r="13" spans="1:34" x14ac:dyDescent="0.3">
      <c r="A13" s="25"/>
      <c r="B13" s="25"/>
      <c r="C13" s="25"/>
      <c r="D13" s="25"/>
      <c r="E13" s="25"/>
      <c r="F13" s="25"/>
      <c r="G13" s="25"/>
      <c r="H13" s="25"/>
      <c r="I13" s="25"/>
      <c r="J13" s="25"/>
      <c r="K13" s="25"/>
      <c r="L13" s="25"/>
      <c r="M13" s="25"/>
      <c r="N13" s="25"/>
      <c r="O13" s="25"/>
      <c r="P13" s="25"/>
      <c r="Q13" s="25"/>
      <c r="R13" s="25"/>
      <c r="S13" s="28"/>
      <c r="T13" s="28"/>
      <c r="U13" s="28"/>
      <c r="V13" s="28"/>
      <c r="W13" s="28"/>
      <c r="X13" s="28"/>
      <c r="Y13" s="28"/>
      <c r="Z13" s="28"/>
      <c r="AA13" s="28"/>
      <c r="AB13" s="28"/>
      <c r="AC13" s="28"/>
      <c r="AD13" s="28"/>
      <c r="AE13" s="28"/>
      <c r="AF13" s="28"/>
      <c r="AG13" s="28"/>
      <c r="AH13" s="28"/>
    </row>
    <row r="14" spans="1:34" x14ac:dyDescent="0.3">
      <c r="A14" s="25"/>
      <c r="B14" s="25"/>
      <c r="C14" s="25"/>
      <c r="D14" s="25"/>
      <c r="E14" s="25"/>
      <c r="F14" s="25"/>
      <c r="G14" s="25"/>
      <c r="H14" s="25"/>
      <c r="I14" s="25"/>
      <c r="J14" s="25"/>
      <c r="K14" s="25"/>
      <c r="L14" s="25"/>
      <c r="M14" s="25"/>
      <c r="N14" s="25"/>
      <c r="O14" s="25"/>
      <c r="P14" s="25"/>
      <c r="Q14" s="25"/>
      <c r="R14" s="25"/>
      <c r="S14" s="28"/>
      <c r="T14" s="28"/>
      <c r="U14" s="28"/>
      <c r="V14" s="28"/>
      <c r="W14" s="28"/>
      <c r="X14" s="28"/>
      <c r="Y14" s="28"/>
      <c r="Z14" s="28"/>
      <c r="AA14" s="28"/>
      <c r="AB14" s="28"/>
      <c r="AC14" s="28"/>
      <c r="AD14" s="28"/>
      <c r="AE14" s="28"/>
      <c r="AF14" s="28"/>
      <c r="AG14" s="28"/>
      <c r="AH14" s="28"/>
    </row>
    <row r="15" spans="1:34" x14ac:dyDescent="0.3">
      <c r="A15" s="25"/>
      <c r="B15" s="25"/>
      <c r="C15" s="25"/>
      <c r="D15" s="25"/>
      <c r="E15" s="25"/>
      <c r="F15" s="25"/>
      <c r="G15" s="25"/>
      <c r="H15" s="25"/>
      <c r="I15" s="25"/>
      <c r="J15" s="25"/>
      <c r="K15" s="25"/>
      <c r="L15" s="25"/>
      <c r="M15" s="25"/>
      <c r="N15" s="25"/>
      <c r="O15" s="25"/>
      <c r="P15" s="25"/>
      <c r="Q15" s="25"/>
      <c r="R15" s="25"/>
      <c r="S15" s="28"/>
      <c r="T15" s="28"/>
      <c r="U15" s="28"/>
      <c r="V15" s="28"/>
      <c r="W15" s="28"/>
      <c r="X15" s="28"/>
      <c r="Y15" s="28"/>
      <c r="Z15" s="28"/>
      <c r="AA15" s="28"/>
      <c r="AB15" s="28"/>
      <c r="AC15" s="28"/>
      <c r="AD15" s="28"/>
      <c r="AE15" s="28"/>
      <c r="AF15" s="28"/>
      <c r="AG15" s="28"/>
      <c r="AH15" s="28"/>
    </row>
    <row r="16" spans="1:34" x14ac:dyDescent="0.3">
      <c r="A16" s="25"/>
      <c r="B16" s="25"/>
      <c r="C16" s="25"/>
      <c r="D16" s="25"/>
      <c r="E16" s="25"/>
      <c r="F16" s="25"/>
      <c r="G16" s="25"/>
      <c r="H16" s="25"/>
      <c r="I16" s="25"/>
      <c r="J16" s="25"/>
      <c r="K16" s="25"/>
      <c r="L16" s="25"/>
      <c r="M16" s="25"/>
      <c r="N16" s="25"/>
      <c r="O16" s="25"/>
      <c r="P16" s="25"/>
      <c r="Q16" s="25"/>
      <c r="R16" s="25"/>
      <c r="S16" s="28"/>
      <c r="T16" s="28"/>
      <c r="U16" s="28"/>
      <c r="V16" s="28"/>
      <c r="W16" s="28"/>
      <c r="X16" s="28"/>
      <c r="Y16" s="28"/>
      <c r="Z16" s="28"/>
      <c r="AA16" s="28"/>
      <c r="AB16" s="28"/>
      <c r="AC16" s="28"/>
      <c r="AD16" s="28"/>
      <c r="AE16" s="28"/>
      <c r="AF16" s="28"/>
      <c r="AG16" s="28"/>
      <c r="AH16" s="28"/>
    </row>
    <row r="17" spans="1:34" x14ac:dyDescent="0.3">
      <c r="A17" s="25"/>
      <c r="B17" s="25"/>
      <c r="C17" s="25"/>
      <c r="D17" s="25"/>
      <c r="E17" s="25"/>
      <c r="F17" s="25"/>
      <c r="G17" s="25"/>
      <c r="H17" s="25"/>
      <c r="I17" s="25"/>
      <c r="J17" s="25"/>
      <c r="K17" s="25"/>
      <c r="L17" s="25"/>
      <c r="M17" s="25"/>
      <c r="N17" s="25"/>
      <c r="O17" s="25"/>
      <c r="P17" s="25"/>
      <c r="Q17" s="25"/>
      <c r="R17" s="25"/>
      <c r="S17" s="28"/>
      <c r="T17" s="28"/>
      <c r="U17" s="28"/>
      <c r="V17" s="28"/>
      <c r="W17" s="28"/>
      <c r="X17" s="28"/>
      <c r="Y17" s="28"/>
      <c r="Z17" s="28"/>
      <c r="AA17" s="28"/>
      <c r="AB17" s="28"/>
      <c r="AC17" s="28"/>
      <c r="AD17" s="28"/>
      <c r="AE17" s="28"/>
      <c r="AF17" s="28"/>
      <c r="AG17" s="28"/>
      <c r="AH17" s="28"/>
    </row>
    <row r="18" spans="1:34" x14ac:dyDescent="0.3">
      <c r="A18" s="25"/>
      <c r="B18" s="25"/>
      <c r="C18" s="25"/>
      <c r="D18" s="25"/>
      <c r="E18" s="25"/>
      <c r="F18" s="25"/>
      <c r="G18" s="25"/>
      <c r="H18" s="25"/>
      <c r="I18" s="25"/>
      <c r="J18" s="25"/>
      <c r="K18" s="25"/>
      <c r="L18" s="25"/>
      <c r="M18" s="25"/>
      <c r="N18" s="25"/>
      <c r="O18" s="25"/>
      <c r="P18" s="25"/>
      <c r="Q18" s="25"/>
      <c r="R18" s="25"/>
      <c r="S18" s="28"/>
      <c r="T18" s="28"/>
      <c r="U18" s="28"/>
      <c r="V18" s="28"/>
      <c r="W18" s="28"/>
      <c r="X18" s="28"/>
      <c r="Y18" s="28"/>
      <c r="Z18" s="28"/>
      <c r="AA18" s="28"/>
      <c r="AB18" s="28"/>
      <c r="AC18" s="28"/>
      <c r="AD18" s="28"/>
      <c r="AE18" s="28"/>
      <c r="AF18" s="28"/>
      <c r="AG18" s="28"/>
      <c r="AH18" s="28"/>
    </row>
    <row r="19" spans="1:34" x14ac:dyDescent="0.3">
      <c r="A19" s="25"/>
      <c r="B19" s="25"/>
      <c r="C19" s="25"/>
      <c r="D19" s="25"/>
      <c r="E19" s="25"/>
      <c r="F19" s="25"/>
      <c r="G19" s="25"/>
      <c r="H19" s="25"/>
      <c r="I19" s="25"/>
      <c r="J19" s="25"/>
      <c r="K19" s="25"/>
      <c r="L19" s="25"/>
      <c r="M19" s="25"/>
      <c r="N19" s="25"/>
      <c r="O19" s="25"/>
      <c r="P19" s="25"/>
      <c r="Q19" s="25"/>
      <c r="R19" s="25"/>
      <c r="S19" s="28"/>
      <c r="T19" s="28"/>
      <c r="U19" s="28"/>
      <c r="V19" s="28"/>
      <c r="W19" s="28"/>
      <c r="X19" s="28"/>
      <c r="Y19" s="28"/>
      <c r="Z19" s="28"/>
      <c r="AA19" s="28"/>
      <c r="AB19" s="28"/>
      <c r="AC19" s="28"/>
      <c r="AD19" s="28"/>
      <c r="AE19" s="28"/>
      <c r="AF19" s="28"/>
      <c r="AG19" s="28"/>
      <c r="AH19" s="28"/>
    </row>
    <row r="20" spans="1:34" x14ac:dyDescent="0.3">
      <c r="A20" s="25"/>
      <c r="B20" s="25"/>
      <c r="C20" s="25"/>
      <c r="D20" s="25"/>
      <c r="E20" s="25"/>
      <c r="F20" s="25"/>
      <c r="G20" s="25"/>
      <c r="H20" s="25"/>
      <c r="I20" s="25"/>
      <c r="J20" s="25"/>
      <c r="K20" s="25"/>
      <c r="L20" s="25"/>
      <c r="M20" s="25"/>
      <c r="N20" s="25"/>
      <c r="O20" s="25"/>
      <c r="P20" s="25"/>
      <c r="Q20" s="25"/>
      <c r="R20" s="25"/>
      <c r="S20" s="28"/>
      <c r="T20" s="28"/>
      <c r="U20" s="28"/>
      <c r="V20" s="28"/>
      <c r="W20" s="28"/>
      <c r="X20" s="28"/>
      <c r="Y20" s="28"/>
      <c r="Z20" s="28"/>
      <c r="AA20" s="28"/>
      <c r="AB20" s="28"/>
      <c r="AC20" s="28"/>
      <c r="AD20" s="28"/>
      <c r="AE20" s="28"/>
      <c r="AF20" s="28"/>
      <c r="AG20" s="28"/>
      <c r="AH20" s="28"/>
    </row>
    <row r="21" spans="1:34" x14ac:dyDescent="0.3">
      <c r="A21" s="25"/>
      <c r="B21" s="25"/>
      <c r="C21" s="25"/>
      <c r="D21" s="25"/>
      <c r="E21" s="25"/>
      <c r="F21" s="25"/>
      <c r="G21" s="25"/>
      <c r="H21" s="25"/>
      <c r="I21" s="25"/>
      <c r="J21" s="25"/>
      <c r="K21" s="25"/>
      <c r="L21" s="25"/>
      <c r="M21" s="25"/>
      <c r="N21" s="25"/>
      <c r="O21" s="25"/>
      <c r="P21" s="25"/>
      <c r="Q21" s="25"/>
      <c r="R21" s="25"/>
      <c r="S21" s="28"/>
      <c r="T21" s="28"/>
      <c r="U21" s="28"/>
      <c r="V21" s="28"/>
      <c r="W21" s="28"/>
      <c r="X21" s="28"/>
      <c r="Y21" s="28"/>
      <c r="Z21" s="28"/>
      <c r="AA21" s="28"/>
      <c r="AB21" s="28"/>
      <c r="AC21" s="28"/>
      <c r="AD21" s="28"/>
      <c r="AE21" s="28"/>
      <c r="AF21" s="28"/>
      <c r="AG21" s="28"/>
      <c r="AH21" s="28"/>
    </row>
    <row r="22" spans="1:34" x14ac:dyDescent="0.3">
      <c r="A22" s="25"/>
      <c r="B22" s="25"/>
      <c r="C22" s="25"/>
      <c r="D22" s="25"/>
      <c r="E22" s="25"/>
      <c r="F22" s="25"/>
      <c r="G22" s="25"/>
      <c r="H22" s="25"/>
      <c r="I22" s="25"/>
      <c r="J22" s="25"/>
      <c r="K22" s="25"/>
      <c r="L22" s="25"/>
      <c r="M22" s="25"/>
      <c r="N22" s="25"/>
      <c r="O22" s="25"/>
      <c r="P22" s="25"/>
      <c r="Q22" s="25"/>
      <c r="R22" s="25"/>
      <c r="S22" s="28"/>
      <c r="T22" s="28"/>
      <c r="U22" s="28"/>
      <c r="V22" s="28"/>
      <c r="W22" s="28"/>
      <c r="X22" s="28"/>
      <c r="Y22" s="28"/>
      <c r="Z22" s="28"/>
      <c r="AA22" s="28"/>
      <c r="AB22" s="28"/>
      <c r="AC22" s="28"/>
      <c r="AD22" s="28"/>
      <c r="AE22" s="28"/>
      <c r="AF22" s="28"/>
      <c r="AG22" s="28"/>
      <c r="AH22" s="28"/>
    </row>
    <row r="23" spans="1:34" x14ac:dyDescent="0.3">
      <c r="A23" s="25"/>
      <c r="B23" s="25"/>
      <c r="C23" s="25"/>
      <c r="D23" s="25"/>
      <c r="E23" s="25"/>
      <c r="F23" s="25"/>
      <c r="G23" s="25"/>
      <c r="H23" s="25"/>
      <c r="I23" s="25"/>
      <c r="J23" s="25"/>
      <c r="K23" s="25"/>
      <c r="L23" s="25"/>
      <c r="M23" s="25"/>
      <c r="N23" s="25"/>
      <c r="O23" s="25"/>
      <c r="P23" s="25"/>
      <c r="Q23" s="25"/>
      <c r="R23" s="25"/>
      <c r="S23" s="28"/>
      <c r="T23" s="28"/>
      <c r="U23" s="28"/>
      <c r="V23" s="28"/>
      <c r="W23" s="28"/>
      <c r="X23" s="28"/>
      <c r="Y23" s="28"/>
      <c r="Z23" s="28"/>
      <c r="AA23" s="28"/>
      <c r="AB23" s="28"/>
      <c r="AC23" s="28"/>
      <c r="AD23" s="28"/>
      <c r="AE23" s="28"/>
      <c r="AF23" s="28"/>
      <c r="AG23" s="28"/>
      <c r="AH23" s="28"/>
    </row>
    <row r="24" spans="1:34" x14ac:dyDescent="0.3">
      <c r="A24" s="25"/>
      <c r="B24" s="25"/>
      <c r="C24" s="25"/>
      <c r="D24" s="25"/>
      <c r="E24" s="25"/>
      <c r="F24" s="25"/>
      <c r="G24" s="25"/>
      <c r="H24" s="25"/>
      <c r="I24" s="25"/>
      <c r="J24" s="25"/>
      <c r="K24" s="25"/>
      <c r="L24" s="25"/>
      <c r="M24" s="25"/>
      <c r="N24" s="25"/>
      <c r="O24" s="25"/>
      <c r="P24" s="25"/>
      <c r="Q24" s="25"/>
      <c r="R24" s="25"/>
      <c r="S24" s="28"/>
      <c r="T24" s="28"/>
      <c r="U24" s="28"/>
      <c r="V24" s="28"/>
      <c r="W24" s="28"/>
      <c r="X24" s="28"/>
      <c r="Y24" s="28"/>
      <c r="Z24" s="28"/>
      <c r="AA24" s="28"/>
      <c r="AB24" s="28"/>
      <c r="AC24" s="28"/>
      <c r="AD24" s="28"/>
      <c r="AE24" s="28"/>
      <c r="AF24" s="28"/>
      <c r="AG24" s="28"/>
      <c r="AH24" s="28"/>
    </row>
    <row r="25" spans="1:34" x14ac:dyDescent="0.3">
      <c r="A25" s="25"/>
      <c r="B25" s="25"/>
      <c r="C25" s="25"/>
      <c r="D25" s="25"/>
      <c r="E25" s="25"/>
      <c r="F25" s="25"/>
      <c r="G25" s="25"/>
      <c r="H25" s="25"/>
      <c r="I25" s="25"/>
      <c r="J25" s="25"/>
      <c r="K25" s="25"/>
      <c r="L25" s="25"/>
      <c r="M25" s="25"/>
      <c r="N25" s="25"/>
      <c r="O25" s="25"/>
      <c r="P25" s="25"/>
      <c r="Q25" s="25"/>
      <c r="R25" s="25"/>
      <c r="S25" s="28"/>
      <c r="T25" s="28"/>
      <c r="U25" s="28"/>
      <c r="V25" s="28"/>
      <c r="W25" s="28"/>
      <c r="X25" s="28"/>
      <c r="Y25" s="28"/>
      <c r="Z25" s="28"/>
      <c r="AA25" s="28"/>
      <c r="AB25" s="28"/>
      <c r="AC25" s="28"/>
      <c r="AD25" s="28"/>
      <c r="AE25" s="28"/>
      <c r="AF25" s="28"/>
      <c r="AG25" s="28"/>
      <c r="AH25" s="28"/>
    </row>
    <row r="26" spans="1:34" x14ac:dyDescent="0.3">
      <c r="A26" s="25"/>
      <c r="B26" s="25"/>
      <c r="C26" s="25"/>
      <c r="D26" s="25"/>
      <c r="E26" s="25"/>
      <c r="F26" s="25"/>
      <c r="G26" s="25"/>
      <c r="H26" s="25"/>
      <c r="I26" s="25"/>
      <c r="J26" s="25"/>
      <c r="K26" s="25"/>
      <c r="L26" s="25"/>
      <c r="M26" s="25"/>
      <c r="N26" s="25"/>
      <c r="O26" s="25"/>
      <c r="P26" s="25"/>
      <c r="Q26" s="25"/>
      <c r="R26" s="25"/>
      <c r="S26" s="28"/>
      <c r="T26" s="28"/>
      <c r="U26" s="28"/>
      <c r="V26" s="28"/>
      <c r="W26" s="28"/>
      <c r="X26" s="28"/>
      <c r="Y26" s="28"/>
      <c r="Z26" s="28"/>
      <c r="AA26" s="28"/>
      <c r="AB26" s="28"/>
      <c r="AC26" s="28"/>
      <c r="AD26" s="28"/>
      <c r="AE26" s="28"/>
      <c r="AF26" s="28"/>
      <c r="AG26" s="28"/>
      <c r="AH26" s="28"/>
    </row>
    <row r="27" spans="1:34" x14ac:dyDescent="0.3">
      <c r="A27" s="25"/>
      <c r="B27" s="25"/>
      <c r="C27" s="25"/>
      <c r="D27" s="25"/>
      <c r="E27" s="25"/>
      <c r="F27" s="25"/>
      <c r="G27" s="25"/>
      <c r="H27" s="25"/>
      <c r="I27" s="25"/>
      <c r="J27" s="25"/>
      <c r="K27" s="25"/>
      <c r="L27" s="25"/>
      <c r="M27" s="25"/>
      <c r="N27" s="25"/>
      <c r="O27" s="25"/>
      <c r="P27" s="25"/>
      <c r="Q27" s="25"/>
      <c r="R27" s="25"/>
      <c r="S27" s="28"/>
      <c r="T27" s="28"/>
      <c r="U27" s="28"/>
      <c r="V27" s="28"/>
      <c r="W27" s="28"/>
      <c r="X27" s="28"/>
      <c r="Y27" s="28"/>
      <c r="Z27" s="28"/>
      <c r="AA27" s="28"/>
      <c r="AB27" s="28"/>
      <c r="AC27" s="28"/>
      <c r="AD27" s="28"/>
      <c r="AE27" s="28"/>
      <c r="AF27" s="28"/>
      <c r="AG27" s="28"/>
      <c r="AH27" s="28"/>
    </row>
    <row r="28" spans="1:34" x14ac:dyDescent="0.3">
      <c r="A28" s="25"/>
      <c r="B28" s="25"/>
      <c r="C28" s="25"/>
      <c r="D28" s="25"/>
      <c r="E28" s="25"/>
      <c r="F28" s="25"/>
      <c r="G28" s="25"/>
      <c r="H28" s="25"/>
      <c r="I28" s="25"/>
      <c r="J28" s="25"/>
      <c r="K28" s="25"/>
      <c r="L28" s="25"/>
      <c r="M28" s="25"/>
      <c r="N28" s="25"/>
      <c r="O28" s="25"/>
      <c r="P28" s="25"/>
      <c r="Q28" s="25"/>
      <c r="R28" s="25"/>
      <c r="S28" s="28"/>
      <c r="T28" s="28"/>
      <c r="U28" s="28"/>
      <c r="V28" s="28"/>
      <c r="W28" s="28"/>
      <c r="X28" s="28"/>
      <c r="Y28" s="28"/>
      <c r="Z28" s="28"/>
      <c r="AA28" s="28"/>
      <c r="AB28" s="28"/>
      <c r="AC28" s="28"/>
      <c r="AD28" s="28"/>
      <c r="AE28" s="28"/>
      <c r="AF28" s="28"/>
      <c r="AG28" s="28"/>
      <c r="AH28" s="28"/>
    </row>
    <row r="29" spans="1:34" x14ac:dyDescent="0.3">
      <c r="A29" s="25"/>
      <c r="B29" s="25"/>
      <c r="C29" s="25"/>
      <c r="D29" s="25"/>
      <c r="E29" s="25"/>
      <c r="F29" s="25"/>
      <c r="G29" s="25"/>
      <c r="H29" s="25"/>
      <c r="I29" s="25"/>
      <c r="J29" s="25"/>
      <c r="K29" s="25"/>
      <c r="L29" s="25"/>
      <c r="M29" s="25"/>
      <c r="N29" s="25"/>
      <c r="O29" s="25"/>
      <c r="P29" s="25"/>
      <c r="Q29" s="25"/>
      <c r="R29" s="25"/>
      <c r="S29" s="28"/>
      <c r="T29" s="28"/>
      <c r="U29" s="28"/>
      <c r="V29" s="28"/>
      <c r="W29" s="28"/>
      <c r="X29" s="28"/>
      <c r="Y29" s="28"/>
      <c r="Z29" s="28"/>
      <c r="AA29" s="28"/>
      <c r="AB29" s="28"/>
      <c r="AC29" s="28"/>
      <c r="AD29" s="28"/>
      <c r="AE29" s="28"/>
      <c r="AF29" s="28"/>
      <c r="AG29" s="28"/>
      <c r="AH29" s="28"/>
    </row>
    <row r="30" spans="1:34" x14ac:dyDescent="0.3">
      <c r="A30" s="25"/>
      <c r="B30" s="25"/>
      <c r="C30" s="25"/>
      <c r="D30" s="25"/>
      <c r="E30" s="25"/>
      <c r="F30" s="25"/>
      <c r="G30" s="25"/>
      <c r="H30" s="25"/>
      <c r="I30" s="25"/>
      <c r="J30" s="25"/>
      <c r="K30" s="25"/>
      <c r="L30" s="25"/>
      <c r="M30" s="25"/>
      <c r="N30" s="25"/>
      <c r="O30" s="25"/>
      <c r="P30" s="25"/>
      <c r="Q30" s="25"/>
      <c r="R30" s="25"/>
      <c r="S30" s="28"/>
      <c r="T30" s="28"/>
      <c r="U30" s="28"/>
      <c r="V30" s="28"/>
      <c r="W30" s="28"/>
      <c r="X30" s="28"/>
      <c r="Y30" s="28"/>
      <c r="Z30" s="28"/>
      <c r="AA30" s="28"/>
      <c r="AB30" s="28"/>
      <c r="AC30" s="28"/>
      <c r="AD30" s="28"/>
      <c r="AE30" s="28"/>
      <c r="AF30" s="28"/>
      <c r="AG30" s="28"/>
      <c r="AH30" s="28"/>
    </row>
    <row r="31" spans="1:34" x14ac:dyDescent="0.3">
      <c r="A31" s="25"/>
      <c r="B31" s="25"/>
      <c r="C31" s="25"/>
      <c r="D31" s="25"/>
      <c r="E31" s="25"/>
      <c r="F31" s="25"/>
      <c r="G31" s="25"/>
      <c r="H31" s="25"/>
      <c r="I31" s="25"/>
      <c r="J31" s="25"/>
      <c r="K31" s="25"/>
      <c r="L31" s="25"/>
      <c r="M31" s="25"/>
      <c r="N31" s="25"/>
      <c r="O31" s="25"/>
      <c r="P31" s="25"/>
      <c r="Q31" s="25"/>
      <c r="R31" s="25"/>
      <c r="S31" s="28"/>
      <c r="T31" s="28"/>
      <c r="U31" s="28"/>
      <c r="V31" s="28"/>
      <c r="W31" s="28"/>
      <c r="X31" s="28"/>
      <c r="Y31" s="28"/>
      <c r="Z31" s="28"/>
      <c r="AA31" s="28"/>
      <c r="AB31" s="28"/>
      <c r="AC31" s="28"/>
      <c r="AD31" s="28"/>
      <c r="AE31" s="28"/>
      <c r="AF31" s="28"/>
      <c r="AG31" s="28"/>
      <c r="AH31" s="28"/>
    </row>
    <row r="32" spans="1:34" x14ac:dyDescent="0.3">
      <c r="A32" s="25"/>
      <c r="B32" s="25"/>
      <c r="C32" s="25"/>
      <c r="D32" s="25"/>
      <c r="E32" s="25"/>
      <c r="F32" s="25"/>
      <c r="G32" s="25"/>
      <c r="H32" s="25"/>
      <c r="I32" s="25"/>
      <c r="J32" s="25"/>
      <c r="K32" s="25"/>
      <c r="L32" s="25"/>
      <c r="M32" s="25"/>
      <c r="N32" s="25"/>
      <c r="O32" s="25"/>
      <c r="P32" s="25"/>
      <c r="Q32" s="25"/>
      <c r="R32" s="25"/>
      <c r="S32" s="28"/>
      <c r="T32" s="28"/>
      <c r="U32" s="28"/>
      <c r="V32" s="28"/>
      <c r="W32" s="28"/>
      <c r="X32" s="28"/>
      <c r="Y32" s="28"/>
      <c r="Z32" s="28"/>
      <c r="AA32" s="28"/>
      <c r="AB32" s="28"/>
      <c r="AC32" s="28"/>
      <c r="AD32" s="28"/>
      <c r="AE32" s="28"/>
      <c r="AF32" s="28"/>
      <c r="AG32" s="28"/>
      <c r="AH32" s="28"/>
    </row>
    <row r="33" spans="1:34" x14ac:dyDescent="0.3">
      <c r="A33" s="25"/>
      <c r="B33" s="25"/>
      <c r="C33" s="25"/>
      <c r="D33" s="25"/>
      <c r="E33" s="25"/>
      <c r="F33" s="25"/>
      <c r="G33" s="25"/>
      <c r="H33" s="25"/>
      <c r="I33" s="25"/>
      <c r="J33" s="25"/>
      <c r="K33" s="25"/>
      <c r="L33" s="25"/>
      <c r="M33" s="25"/>
      <c r="N33" s="25"/>
      <c r="O33" s="25"/>
      <c r="P33" s="25"/>
      <c r="Q33" s="25"/>
      <c r="R33" s="25"/>
      <c r="S33" s="28"/>
      <c r="T33" s="28"/>
      <c r="U33" s="28"/>
      <c r="V33" s="28"/>
      <c r="W33" s="28"/>
      <c r="X33" s="28"/>
      <c r="Y33" s="28"/>
      <c r="Z33" s="28"/>
      <c r="AA33" s="28"/>
      <c r="AB33" s="28"/>
      <c r="AC33" s="28"/>
      <c r="AD33" s="28"/>
      <c r="AE33" s="28"/>
      <c r="AF33" s="28"/>
      <c r="AG33" s="28"/>
      <c r="AH33" s="28"/>
    </row>
    <row r="34" spans="1:34" x14ac:dyDescent="0.3">
      <c r="A34" s="25"/>
      <c r="B34" s="25"/>
      <c r="C34" s="25"/>
      <c r="D34" s="25"/>
      <c r="E34" s="25"/>
      <c r="F34" s="25"/>
      <c r="G34" s="25"/>
      <c r="H34" s="25"/>
      <c r="I34" s="25"/>
      <c r="J34" s="25"/>
      <c r="K34" s="25"/>
      <c r="L34" s="25"/>
      <c r="M34" s="25"/>
      <c r="N34" s="25"/>
      <c r="O34" s="25"/>
      <c r="P34" s="25"/>
      <c r="Q34" s="25"/>
      <c r="R34" s="25"/>
      <c r="S34" s="28"/>
      <c r="T34" s="28"/>
      <c r="U34" s="28"/>
      <c r="V34" s="28"/>
      <c r="W34" s="28"/>
      <c r="X34" s="28"/>
      <c r="Y34" s="28"/>
      <c r="Z34" s="28"/>
      <c r="AA34" s="28"/>
      <c r="AB34" s="28"/>
      <c r="AC34" s="28"/>
      <c r="AD34" s="28"/>
      <c r="AE34" s="28"/>
      <c r="AF34" s="28"/>
      <c r="AG34" s="28"/>
      <c r="AH34" s="28"/>
    </row>
    <row r="35" spans="1:34" x14ac:dyDescent="0.3">
      <c r="A35" s="25"/>
      <c r="B35" s="25"/>
      <c r="C35" s="25"/>
      <c r="D35" s="25"/>
      <c r="E35" s="25"/>
      <c r="F35" s="25"/>
      <c r="G35" s="25"/>
      <c r="H35" s="25"/>
      <c r="I35" s="25"/>
      <c r="J35" s="25"/>
      <c r="K35" s="25"/>
      <c r="L35" s="25"/>
      <c r="M35" s="25"/>
      <c r="N35" s="25"/>
      <c r="O35" s="25"/>
      <c r="P35" s="25"/>
      <c r="Q35" s="25"/>
      <c r="R35" s="25"/>
      <c r="S35" s="28"/>
      <c r="T35" s="28"/>
      <c r="U35" s="28"/>
      <c r="V35" s="28"/>
      <c r="W35" s="28"/>
      <c r="X35" s="28"/>
      <c r="Y35" s="28"/>
      <c r="Z35" s="28"/>
      <c r="AA35" s="28"/>
      <c r="AB35" s="28"/>
      <c r="AC35" s="28"/>
      <c r="AD35" s="28"/>
      <c r="AE35" s="28"/>
      <c r="AF35" s="28"/>
      <c r="AG35" s="28"/>
      <c r="AH35" s="28"/>
    </row>
    <row r="36" spans="1:34" x14ac:dyDescent="0.3">
      <c r="A36" s="25"/>
      <c r="B36" s="25"/>
      <c r="C36" s="25"/>
      <c r="D36" s="25"/>
      <c r="E36" s="25"/>
      <c r="F36" s="25"/>
      <c r="G36" s="25"/>
      <c r="H36" s="25"/>
      <c r="I36" s="25"/>
      <c r="J36" s="25"/>
      <c r="K36" s="25"/>
      <c r="L36" s="25"/>
      <c r="M36" s="25"/>
      <c r="N36" s="25"/>
      <c r="O36" s="25"/>
      <c r="P36" s="25"/>
      <c r="Q36" s="25"/>
      <c r="R36" s="25"/>
      <c r="S36" s="28"/>
      <c r="T36" s="28"/>
      <c r="U36" s="28"/>
      <c r="V36" s="28"/>
      <c r="W36" s="28"/>
      <c r="X36" s="28"/>
      <c r="Y36" s="28"/>
      <c r="Z36" s="28"/>
      <c r="AA36" s="28"/>
      <c r="AB36" s="28"/>
      <c r="AC36" s="28"/>
      <c r="AD36" s="28"/>
      <c r="AE36" s="28"/>
      <c r="AF36" s="28"/>
      <c r="AG36" s="28"/>
      <c r="AH36" s="28"/>
    </row>
    <row r="37" spans="1:34" x14ac:dyDescent="0.3">
      <c r="A37" s="25"/>
      <c r="B37" s="25"/>
      <c r="C37" s="25"/>
      <c r="D37" s="25"/>
      <c r="E37" s="25"/>
      <c r="F37" s="25"/>
      <c r="G37" s="25"/>
      <c r="H37" s="25"/>
      <c r="I37" s="25"/>
      <c r="J37" s="25"/>
      <c r="K37" s="25"/>
      <c r="L37" s="25"/>
      <c r="M37" s="25"/>
      <c r="N37" s="25"/>
      <c r="O37" s="25"/>
      <c r="P37" s="25"/>
      <c r="Q37" s="25"/>
      <c r="R37" s="25"/>
      <c r="S37" s="28"/>
      <c r="T37" s="28"/>
      <c r="U37" s="28"/>
      <c r="V37" s="28"/>
      <c r="W37" s="28"/>
      <c r="X37" s="28"/>
      <c r="Y37" s="28"/>
      <c r="Z37" s="28"/>
      <c r="AA37" s="28"/>
      <c r="AB37" s="28"/>
      <c r="AC37" s="28"/>
      <c r="AD37" s="28"/>
      <c r="AE37" s="28"/>
      <c r="AF37" s="28"/>
      <c r="AG37" s="28"/>
      <c r="AH37" s="28"/>
    </row>
    <row r="38" spans="1:34" x14ac:dyDescent="0.3">
      <c r="A38" s="25"/>
      <c r="B38" s="25"/>
      <c r="C38" s="25"/>
      <c r="D38" s="25"/>
      <c r="E38" s="25"/>
      <c r="F38" s="25"/>
      <c r="G38" s="25"/>
      <c r="H38" s="25"/>
      <c r="I38" s="25"/>
      <c r="J38" s="25"/>
      <c r="K38" s="25"/>
      <c r="L38" s="25"/>
      <c r="M38" s="25"/>
      <c r="N38" s="25"/>
      <c r="O38" s="25"/>
      <c r="P38" s="25"/>
      <c r="Q38" s="25"/>
      <c r="R38" s="25"/>
      <c r="S38" s="28"/>
      <c r="T38" s="28"/>
      <c r="U38" s="28"/>
      <c r="V38" s="28"/>
      <c r="W38" s="28"/>
      <c r="X38" s="28"/>
      <c r="Y38" s="28"/>
      <c r="Z38" s="28"/>
      <c r="AA38" s="28"/>
      <c r="AB38" s="28"/>
      <c r="AC38" s="28"/>
      <c r="AD38" s="28"/>
      <c r="AE38" s="28"/>
      <c r="AF38" s="28"/>
      <c r="AG38" s="28"/>
      <c r="AH38" s="28"/>
    </row>
    <row r="39" spans="1:34" x14ac:dyDescent="0.3">
      <c r="A39" s="25"/>
      <c r="B39" s="25"/>
      <c r="C39" s="25"/>
      <c r="D39" s="25"/>
      <c r="E39" s="25"/>
      <c r="F39" s="25"/>
      <c r="G39" s="25"/>
      <c r="H39" s="25"/>
      <c r="I39" s="25"/>
      <c r="J39" s="25"/>
      <c r="K39" s="25"/>
      <c r="L39" s="25"/>
      <c r="M39" s="25"/>
      <c r="N39" s="25"/>
      <c r="O39" s="25"/>
      <c r="P39" s="25"/>
      <c r="Q39" s="25"/>
      <c r="R39" s="25"/>
      <c r="S39" s="28"/>
      <c r="T39" s="28"/>
      <c r="U39" s="28"/>
      <c r="V39" s="28"/>
      <c r="W39" s="28"/>
      <c r="X39" s="28"/>
      <c r="Y39" s="28"/>
      <c r="Z39" s="28"/>
      <c r="AA39" s="28"/>
      <c r="AB39" s="28"/>
      <c r="AC39" s="28"/>
      <c r="AD39" s="28"/>
      <c r="AE39" s="28"/>
      <c r="AF39" s="28"/>
      <c r="AG39" s="28"/>
      <c r="AH39" s="28"/>
    </row>
    <row r="40" spans="1:34" x14ac:dyDescent="0.3">
      <c r="A40" s="25"/>
      <c r="B40" s="25"/>
      <c r="C40" s="25"/>
      <c r="D40" s="25"/>
      <c r="E40" s="25"/>
      <c r="F40" s="25"/>
      <c r="G40" s="25"/>
      <c r="H40" s="25"/>
      <c r="I40" s="25"/>
      <c r="J40" s="25"/>
      <c r="K40" s="25"/>
      <c r="L40" s="25"/>
      <c r="M40" s="25"/>
      <c r="N40" s="25"/>
      <c r="O40" s="25"/>
      <c r="P40" s="25"/>
      <c r="Q40" s="25"/>
      <c r="R40" s="25"/>
      <c r="S40" s="28"/>
      <c r="T40" s="28"/>
      <c r="U40" s="28"/>
      <c r="V40" s="28"/>
      <c r="W40" s="28"/>
      <c r="X40" s="28"/>
      <c r="Y40" s="28"/>
      <c r="Z40" s="28"/>
      <c r="AA40" s="28"/>
      <c r="AB40" s="28"/>
      <c r="AC40" s="28"/>
      <c r="AD40" s="28"/>
      <c r="AE40" s="28"/>
      <c r="AF40" s="28"/>
      <c r="AG40" s="28"/>
      <c r="AH40" s="28"/>
    </row>
    <row r="41" spans="1:34" x14ac:dyDescent="0.3">
      <c r="S41" s="28"/>
      <c r="T41" s="28"/>
      <c r="U41" s="28"/>
      <c r="V41" s="28"/>
      <c r="W41" s="28"/>
      <c r="X41" s="28"/>
      <c r="Y41" s="28"/>
      <c r="Z41" s="28"/>
      <c r="AA41" s="28"/>
      <c r="AB41" s="28"/>
      <c r="AC41" s="28"/>
      <c r="AD41" s="28"/>
      <c r="AE41" s="28"/>
      <c r="AF41" s="28"/>
      <c r="AG41" s="28"/>
      <c r="AH41" s="28"/>
    </row>
    <row r="42" spans="1:34" x14ac:dyDescent="0.3">
      <c r="S42" s="28"/>
      <c r="T42" s="28"/>
      <c r="U42" s="28"/>
      <c r="V42" s="28"/>
      <c r="W42" s="28"/>
      <c r="X42" s="28"/>
      <c r="Y42" s="28"/>
      <c r="Z42" s="28"/>
      <c r="AA42" s="28"/>
      <c r="AB42" s="28"/>
      <c r="AC42" s="28"/>
      <c r="AD42" s="28"/>
      <c r="AE42" s="28"/>
      <c r="AF42" s="28"/>
      <c r="AG42" s="28"/>
      <c r="AH42" s="28"/>
    </row>
    <row r="43" spans="1:34" x14ac:dyDescent="0.3">
      <c r="S43" s="28"/>
      <c r="T43" s="28"/>
      <c r="U43" s="28"/>
      <c r="V43" s="28"/>
      <c r="W43" s="28"/>
      <c r="X43" s="28"/>
      <c r="Y43" s="28"/>
      <c r="Z43" s="28"/>
      <c r="AA43" s="28"/>
      <c r="AB43" s="28"/>
      <c r="AC43" s="28"/>
      <c r="AD43" s="28"/>
      <c r="AE43" s="28"/>
      <c r="AF43" s="28"/>
      <c r="AG43" s="28"/>
      <c r="AH43" s="28"/>
    </row>
  </sheetData>
  <mergeCells count="4">
    <mergeCell ref="S3:AH43"/>
    <mergeCell ref="X1:AB2"/>
    <mergeCell ref="A3:R40"/>
    <mergeCell ref="D1:H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130AE95-F91E-478B-9E95-D8BA5BE724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Tables</vt:lpstr>
      <vt:lpstr>Cleaned Data</vt:lpstr>
      <vt:lpstr>Insights &amp; Recommendations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Ahmed Mohey</cp:lastModifiedBy>
  <dcterms:created xsi:type="dcterms:W3CDTF">2015-06-05T18:17:20Z</dcterms:created>
  <dcterms:modified xsi:type="dcterms:W3CDTF">2026-10-04T12:36:27Z</dcterms:modified>
</cp:coreProperties>
</file>